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NLChanhthu-main\exel\"/>
    </mc:Choice>
  </mc:AlternateContent>
  <xr:revisionPtr revIDLastSave="0" documentId="13_ncr:1_{D2A490AC-6ACA-4BA5-9798-690BA07BC84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ẤT CẢ" sheetId="5" r:id="rId1"/>
    <sheet name="TỔNG" sheetId="6" r:id="rId2"/>
    <sheet name="CHI TIET" sheetId="1" r:id="rId3"/>
  </sheets>
  <definedNames>
    <definedName name="_xlnm.Print_Area" localSheetId="2">'CHI TIET'!$A$1:$N$84</definedName>
    <definedName name="_xlnm.Print_Area" localSheetId="0">'TẤT CẢ'!$A$1:$F$35</definedName>
    <definedName name="_xlnm.Print_Area" localSheetId="1">TỔNG!$A$1:$F$31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/wd+qyO1HLmFm2M4AMbV4xURUzDRhq/tvgDLKhDgqds="/>
    </ext>
  </extLst>
</workbook>
</file>

<file path=xl/calcChain.xml><?xml version="1.0" encoding="utf-8"?>
<calcChain xmlns="http://schemas.openxmlformats.org/spreadsheetml/2006/main">
  <c r="C87" i="1" l="1"/>
  <c r="C84" i="1"/>
  <c r="C83" i="1"/>
  <c r="C82" i="1"/>
  <c r="C78" i="1"/>
  <c r="M20" i="1"/>
  <c r="B5" i="6"/>
  <c r="F3" i="6"/>
  <c r="B4" i="6"/>
  <c r="M28" i="1"/>
  <c r="M29" i="1"/>
  <c r="M31" i="1"/>
  <c r="M4" i="1"/>
  <c r="B3" i="6" s="1"/>
  <c r="M16" i="1"/>
  <c r="B4" i="5"/>
  <c r="M63" i="1"/>
  <c r="M64" i="1"/>
  <c r="M65" i="1"/>
  <c r="M66" i="1"/>
  <c r="M67" i="1"/>
  <c r="M68" i="1"/>
  <c r="M69" i="1"/>
  <c r="M70" i="1"/>
  <c r="M71" i="1"/>
  <c r="M72" i="1"/>
  <c r="M51" i="1"/>
  <c r="M52" i="1"/>
  <c r="M53" i="1"/>
  <c r="M54" i="1"/>
  <c r="M55" i="1"/>
  <c r="M56" i="1"/>
  <c r="M57" i="1"/>
  <c r="F3" i="5"/>
  <c r="M75" i="1"/>
  <c r="M74" i="1"/>
  <c r="M73" i="1"/>
  <c r="M62" i="1"/>
  <c r="M61" i="1"/>
  <c r="M60" i="1"/>
  <c r="M59" i="1"/>
  <c r="M58" i="1"/>
  <c r="M50" i="1"/>
  <c r="M49" i="1"/>
  <c r="M48" i="1"/>
  <c r="M47" i="1"/>
  <c r="M46" i="1"/>
  <c r="I79" i="1" s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0" i="1"/>
  <c r="M27" i="1"/>
  <c r="M26" i="1"/>
  <c r="M25" i="1"/>
  <c r="M24" i="1"/>
  <c r="M23" i="1"/>
  <c r="M22" i="1"/>
  <c r="M21" i="1"/>
  <c r="M19" i="1"/>
  <c r="F85" i="1" s="1"/>
  <c r="E24" i="5" s="1"/>
  <c r="M18" i="1"/>
  <c r="M17" i="1"/>
  <c r="M15" i="1"/>
  <c r="M14" i="1"/>
  <c r="F82" i="1" l="1"/>
  <c r="E21" i="5"/>
  <c r="C85" i="1"/>
  <c r="E23" i="5" s="1"/>
  <c r="B3" i="5"/>
  <c r="C88" i="1"/>
  <c r="I78" i="1"/>
  <c r="F83" i="1"/>
  <c r="F80" i="1"/>
  <c r="C80" i="1"/>
  <c r="F84" i="1"/>
  <c r="C79" i="1"/>
  <c r="F78" i="1"/>
  <c r="F79" i="1"/>
  <c r="E8" i="5"/>
  <c r="E14" i="5"/>
  <c r="E12" i="5"/>
  <c r="I83" i="1" l="1"/>
  <c r="E13" i="5"/>
  <c r="E22" i="5"/>
  <c r="C89" i="1"/>
  <c r="E20" i="5"/>
  <c r="I80" i="1"/>
  <c r="E10" i="5"/>
  <c r="E7" i="5"/>
  <c r="E9" i="5"/>
  <c r="E11" i="5"/>
  <c r="E16" i="5"/>
  <c r="E19" i="5"/>
  <c r="E17" i="5"/>
  <c r="E18" i="5"/>
  <c r="E15" i="5"/>
  <c r="M6" i="1" l="1"/>
  <c r="M7" i="1" s="1"/>
  <c r="F7" i="6" a="1"/>
  <c r="F7" i="6" s="1"/>
  <c r="E7" i="6" a="1"/>
  <c r="E7" i="6" s="1"/>
  <c r="D7" i="6" a="1"/>
  <c r="D7" i="6" s="1"/>
  <c r="C7" i="6" a="1"/>
  <c r="C7" i="6" s="1"/>
  <c r="B7" i="6" a="1"/>
  <c r="B7" i="6" s="1"/>
  <c r="E25" i="5"/>
  <c r="F4" i="5" s="1"/>
  <c r="F5" i="5" s="1"/>
  <c r="E23" i="6" l="1"/>
  <c r="F4" i="6" l="1"/>
  <c r="F5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<sst xmlns="http://schemas.openxmlformats.org/spreadsheetml/2006/main" count="158" uniqueCount="115">
  <si>
    <t>CÔNG TY CỔ PHẦN TẬP ĐOÀN XUẤT NHẬP KHẨU TRÁI CÂY CHÁNH THU 
THÔN NAM KỲ , XÃ EA DRƠNG , HUYỆN CƯ M'GAR , TỈNH ĐĂK LĂK</t>
  </si>
  <si>
    <t>PHIẾU TỔNG CÂN TAY</t>
  </si>
  <si>
    <t>Ngày tháng:</t>
  </si>
  <si>
    <t>Phiếu TTCH:</t>
  </si>
  <si>
    <t>Biển số xe:</t>
  </si>
  <si>
    <t>Tổng cân tay xe:</t>
  </si>
  <si>
    <t>% Hao hụt</t>
  </si>
  <si>
    <t>STT</t>
  </si>
  <si>
    <t xml:space="preserve">Mã </t>
  </si>
  <si>
    <t>Tên</t>
  </si>
  <si>
    <t>Đơn vị tính</t>
  </si>
  <si>
    <t>Khối lượng</t>
  </si>
  <si>
    <t>Ghi Chú</t>
  </si>
  <si>
    <t xml:space="preserve">NL1010101.009      </t>
  </si>
  <si>
    <t>Sầu riêng monthong Dạt</t>
  </si>
  <si>
    <t>Kg</t>
  </si>
  <si>
    <t xml:space="preserve">NL1010101.006      </t>
  </si>
  <si>
    <t>Sầu riêng monthong Kem</t>
  </si>
  <si>
    <t xml:space="preserve">NL1010101.014   </t>
  </si>
  <si>
    <t>Sầu riêng monthong Chiêm</t>
  </si>
  <si>
    <t xml:space="preserve">NL1010101.008 </t>
  </si>
  <si>
    <t>Sầu riêng monthong Chín cây</t>
  </si>
  <si>
    <t xml:space="preserve">NL1010101.015 </t>
  </si>
  <si>
    <t>Sầu riêng monthong Nấm</t>
  </si>
  <si>
    <t>Sầu riêng monthong Thối</t>
  </si>
  <si>
    <t>Bỏ</t>
  </si>
  <si>
    <t xml:space="preserve">NL1010102.002  </t>
  </si>
  <si>
    <t>Sầu riêng Ri 6 loại 1</t>
  </si>
  <si>
    <t>NL1010102.003</t>
  </si>
  <si>
    <t>Sầu riêng Ri 6 loại 2</t>
  </si>
  <si>
    <t xml:space="preserve">NL1010102.009  </t>
  </si>
  <si>
    <t>Sầu riêng Ri 6 Dạt</t>
  </si>
  <si>
    <t>NL1010102.006</t>
  </si>
  <si>
    <t>Sầu riêng Ri 6 Kem</t>
  </si>
  <si>
    <t xml:space="preserve">NL1010102.014 </t>
  </si>
  <si>
    <t>Sầu riêng Ri 6 Chiêm</t>
  </si>
  <si>
    <t xml:space="preserve">NL1010102.008    </t>
  </si>
  <si>
    <t>Sầu riêng Ri 6 Chín cây</t>
  </si>
  <si>
    <t xml:space="preserve">NL1010102.015   </t>
  </si>
  <si>
    <t>Sầu riêng Ri 6 Nấm</t>
  </si>
  <si>
    <t>Sầu riêng Ri 6 Thối</t>
  </si>
  <si>
    <t xml:space="preserve">NL1010104.002 </t>
  </si>
  <si>
    <t>Sầu riêng Musaking loại A</t>
  </si>
  <si>
    <t>NL1010104.003</t>
  </si>
  <si>
    <t>Sầu riêng Musaking loại B</t>
  </si>
  <si>
    <t xml:space="preserve">NL1010101.002       </t>
  </si>
  <si>
    <t>Sầu riêng monthong loại A</t>
  </si>
  <si>
    <t xml:space="preserve">NL1010101.003       </t>
  </si>
  <si>
    <t>Sầu riêng monthong loại B</t>
  </si>
  <si>
    <t>Tổng</t>
  </si>
  <si>
    <t>Người giao hàng</t>
  </si>
  <si>
    <t>Người nhận hàng</t>
  </si>
  <si>
    <t>Người cân hàng</t>
  </si>
  <si>
    <t>Thủ Kho</t>
  </si>
  <si>
    <t>Mã phiếu:</t>
  </si>
  <si>
    <t xml:space="preserve">CÔNG TY CỔ PHẦN TẬP ĐOÀN XUẤT NHẬP KHẨU TRÁI CÂY CHÁNH THU </t>
  </si>
  <si>
    <t xml:space="preserve">PHIẾU CÂN TAY NHẬP NGUYÊN LIỆU </t>
  </si>
  <si>
    <t>I. THÔNG TIN CHUNG</t>
  </si>
  <si>
    <t>66A-481.96</t>
  </si>
  <si>
    <t>Lot QC 1:</t>
  </si>
  <si>
    <t>DM</t>
  </si>
  <si>
    <t xml:space="preserve">Lot QC  5: </t>
  </si>
  <si>
    <t>Lot QC 2:</t>
  </si>
  <si>
    <t>DK</t>
  </si>
  <si>
    <t xml:space="preserve">Lot QC 6: </t>
  </si>
  <si>
    <t>% Hao hụt:</t>
  </si>
  <si>
    <t>Lot QC 3:</t>
  </si>
  <si>
    <t xml:space="preserve">Lot QC 7: </t>
  </si>
  <si>
    <t>Lot QC 4:</t>
  </si>
  <si>
    <t xml:space="preserve">Lot QC 8: </t>
  </si>
  <si>
    <t>II. CHI TIẾT</t>
  </si>
  <si>
    <t>Mã</t>
  </si>
  <si>
    <t>KHỐI LƯỢNG NGUYÊN LIỆU</t>
  </si>
  <si>
    <t>Kho</t>
  </si>
  <si>
    <t>KG</t>
  </si>
  <si>
    <t>DD</t>
  </si>
  <si>
    <t>D9</t>
  </si>
  <si>
    <t>Người ghi cân</t>
  </si>
  <si>
    <t>Tổng RI-6</t>
  </si>
  <si>
    <t>RT</t>
  </si>
  <si>
    <t>RI-6 THỐI:</t>
  </si>
  <si>
    <t>RK</t>
  </si>
  <si>
    <t>RI-6 KEM:</t>
  </si>
  <si>
    <t>RTA</t>
  </si>
  <si>
    <t>RI-6 A</t>
  </si>
  <si>
    <t>RD</t>
  </si>
  <si>
    <t>RI-6 DẠT</t>
  </si>
  <si>
    <t>R9</t>
  </si>
  <si>
    <t>RI-6 CHÍN:</t>
  </si>
  <si>
    <t>RTB</t>
  </si>
  <si>
    <t>RI-6 B</t>
  </si>
  <si>
    <t>RC</t>
  </si>
  <si>
    <t>RI-6 CHIÊM</t>
  </si>
  <si>
    <t>RN</t>
  </si>
  <si>
    <t>RI-6 NẤM:</t>
  </si>
  <si>
    <t>Tổng  Ri-6</t>
  </si>
  <si>
    <t>Tổng DONA</t>
  </si>
  <si>
    <t>DT</t>
  </si>
  <si>
    <t>DONA THỐI:</t>
  </si>
  <si>
    <t>DONA KEM:</t>
  </si>
  <si>
    <t>DONA DẠT</t>
  </si>
  <si>
    <t>DONA CHÍN:</t>
  </si>
  <si>
    <t>Tổng  DONA</t>
  </si>
  <si>
    <t>DC</t>
  </si>
  <si>
    <t>DONA CHIÊM</t>
  </si>
  <si>
    <t>DN</t>
  </si>
  <si>
    <t>DONA NẤM:</t>
  </si>
  <si>
    <t>DA</t>
  </si>
  <si>
    <t>DONA A:</t>
  </si>
  <si>
    <t>DB</t>
  </si>
  <si>
    <t>DONA B:</t>
  </si>
  <si>
    <t>Tổng Musaking</t>
  </si>
  <si>
    <t>MSKA</t>
  </si>
  <si>
    <t>MSKB</t>
  </si>
  <si>
    <t>Tổng MSK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</si>
</sst>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.0"/>
  </numFmts>
  <fonts count="30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8"/>
      <color theme="1"/>
      <name val="Times New Roman"/>
    </font>
    <font>
      <b/>
      <sz val="12"/>
      <color theme="1"/>
      <name val="Times New Roman"/>
    </font>
    <font>
      <b/>
      <sz val="11"/>
      <color rgb="FF9C0006"/>
      <name val="Calibri"/>
    </font>
    <font>
      <sz val="10"/>
      <name val="Arial"/>
    </font>
    <font>
      <sz val="11"/>
      <color theme="1"/>
      <name val="Times New Roman"/>
    </font>
    <font>
      <b/>
      <sz val="11"/>
      <color theme="1"/>
      <name val="Times New Roman"/>
    </font>
    <font>
      <sz val="10"/>
      <color rgb="FF000000"/>
      <name val="Arial"/>
      <scheme val="minor"/>
    </font>
    <font>
      <b/>
      <sz val="22"/>
      <color theme="1"/>
      <name val="Times New Roman"/>
    </font>
    <font>
      <sz val="18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16"/>
      <color theme="1"/>
      <name val="Times New Roman"/>
      <family val="1"/>
    </font>
    <font>
      <b/>
      <sz val="24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rgb="FFFF0000"/>
      <name val="Calibri"/>
      <family val="2"/>
    </font>
    <font>
      <b/>
      <sz val="11"/>
      <color rgb="FFFF0000"/>
      <name val="Times New Roman"/>
      <family val="1"/>
    </font>
    <font>
      <b/>
      <sz val="12"/>
      <color rgb="FFFF0000"/>
      <name val="Calibri"/>
      <family val="2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i/>
      <sz val="11"/>
      <color theme="1"/>
      <name val="Calibri"/>
      <family val="2"/>
    </font>
    <font>
      <b/>
      <sz val="20"/>
      <color theme="1"/>
      <name val="Times New Roman"/>
      <family val="1"/>
    </font>
    <font>
      <sz val="20"/>
      <color rgb="FF000000"/>
      <name val="Arial"/>
      <family val="2"/>
      <scheme val="minor"/>
    </font>
    <font>
      <b/>
      <sz val="12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93C47D"/>
        <bgColor rgb="FF93C47D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/>
    <xf numFmtId="0" fontId="3" fillId="3" borderId="1" xfId="0" applyFont="1" applyFill="1" applyBorder="1" applyAlignment="1">
      <alignment horizontal="right"/>
    </xf>
    <xf numFmtId="0" fontId="1" fillId="0" borderId="3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1" fillId="2" borderId="1" xfId="0" applyFont="1" applyFill="1" applyBorder="1"/>
    <xf numFmtId="165" fontId="7" fillId="6" borderId="2" xfId="0" applyNumberFormat="1" applyFont="1" applyFill="1" applyBorder="1" applyAlignment="1">
      <alignment horizontal="center"/>
    </xf>
    <xf numFmtId="0" fontId="1" fillId="0" borderId="0" xfId="0" applyFont="1" applyProtection="1">
      <protection locked="0"/>
    </xf>
    <xf numFmtId="0" fontId="1" fillId="0" borderId="3" xfId="0" applyFont="1" applyBorder="1" applyProtection="1">
      <protection locked="0"/>
    </xf>
    <xf numFmtId="0" fontId="3" fillId="4" borderId="2" xfId="0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16" fillId="3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right"/>
    </xf>
    <xf numFmtId="0" fontId="20" fillId="3" borderId="1" xfId="0" applyFont="1" applyFill="1" applyBorder="1" applyAlignment="1">
      <alignment horizontal="left"/>
    </xf>
    <xf numFmtId="0" fontId="18" fillId="0" borderId="0" xfId="0" applyFont="1" applyAlignment="1">
      <alignment horizontal="left"/>
    </xf>
    <xf numFmtId="10" fontId="4" fillId="5" borderId="2" xfId="1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2" fillId="3" borderId="1" xfId="0" applyFont="1" applyFill="1" applyBorder="1" applyAlignment="1">
      <alignment horizontal="right"/>
    </xf>
    <xf numFmtId="0" fontId="22" fillId="0" borderId="0" xfId="0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0" fontId="14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5" fillId="0" borderId="6" xfId="0" applyFont="1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5" fillId="0" borderId="6" xfId="0" applyFont="1" applyBorder="1"/>
    <xf numFmtId="0" fontId="0" fillId="0" borderId="6" xfId="0" applyBorder="1"/>
    <xf numFmtId="0" fontId="25" fillId="8" borderId="6" xfId="0" applyFont="1" applyFill="1" applyBorder="1" applyAlignment="1">
      <alignment horizontal="center"/>
    </xf>
    <xf numFmtId="0" fontId="22" fillId="8" borderId="6" xfId="0" applyFont="1" applyFill="1" applyBorder="1" applyAlignment="1">
      <alignment horizontal="center"/>
    </xf>
    <xf numFmtId="0" fontId="0" fillId="8" borderId="6" xfId="0" applyFill="1" applyBorder="1"/>
    <xf numFmtId="0" fontId="24" fillId="8" borderId="6" xfId="0" applyFont="1" applyFill="1" applyBorder="1" applyAlignment="1">
      <alignment horizontal="center"/>
    </xf>
    <xf numFmtId="9" fontId="0" fillId="0" borderId="0" xfId="1" applyFont="1"/>
    <xf numFmtId="10" fontId="4" fillId="5" borderId="5" xfId="1" applyNumberFormat="1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0" fontId="3" fillId="4" borderId="5" xfId="0" applyFont="1" applyFill="1" applyBorder="1" applyAlignment="1">
      <alignment horizontal="center"/>
    </xf>
    <xf numFmtId="165" fontId="25" fillId="0" borderId="6" xfId="0" applyNumberFormat="1" applyFont="1" applyBorder="1" applyAlignment="1">
      <alignment horizontal="right"/>
    </xf>
    <xf numFmtId="165" fontId="0" fillId="0" borderId="6" xfId="0" applyNumberFormat="1" applyBorder="1" applyAlignment="1">
      <alignment horizontal="right"/>
    </xf>
    <xf numFmtId="165" fontId="3" fillId="4" borderId="2" xfId="0" applyNumberFormat="1" applyFont="1" applyFill="1" applyBorder="1" applyAlignment="1">
      <alignment horizontal="center"/>
    </xf>
    <xf numFmtId="0" fontId="0" fillId="0" borderId="0" xfId="0" applyProtection="1">
      <protection locked="0"/>
    </xf>
    <xf numFmtId="0" fontId="1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Protection="1"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6" xfId="0" applyFont="1" applyBorder="1" applyAlignment="1" applyProtection="1">
      <alignment horizontal="right"/>
      <protection locked="0"/>
    </xf>
    <xf numFmtId="0" fontId="22" fillId="0" borderId="6" xfId="0" applyFont="1" applyBorder="1" applyAlignment="1" applyProtection="1">
      <alignment horizontal="center"/>
      <protection locked="0"/>
    </xf>
    <xf numFmtId="0" fontId="19" fillId="0" borderId="0" xfId="0" applyFont="1" applyAlignment="1">
      <alignment horizontal="left"/>
    </xf>
    <xf numFmtId="0" fontId="26" fillId="0" borderId="0" xfId="0" applyFont="1"/>
    <xf numFmtId="0" fontId="22" fillId="0" borderId="0" xfId="0" applyFont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17" fillId="3" borderId="6" xfId="0" applyFont="1" applyFill="1" applyBorder="1" applyAlignment="1" applyProtection="1">
      <alignment horizontal="left"/>
      <protection locked="0"/>
    </xf>
    <xf numFmtId="11" fontId="24" fillId="0" borderId="0" xfId="0" applyNumberFormat="1" applyFont="1" applyProtection="1">
      <protection locked="0"/>
    </xf>
    <xf numFmtId="16" fontId="0" fillId="0" borderId="6" xfId="0" applyNumberFormat="1" applyBorder="1" applyProtection="1">
      <protection locked="0"/>
    </xf>
    <xf numFmtId="22" fontId="29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0" borderId="0" xfId="0" applyFont="1"/>
    <xf numFmtId="0" fontId="2" fillId="0" borderId="0" xfId="0" applyFont="1" applyAlignment="1">
      <alignment horizontal="center"/>
    </xf>
    <xf numFmtId="0" fontId="3" fillId="6" borderId="6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/>
    </xf>
    <xf numFmtId="0" fontId="5" fillId="0" borderId="4" xfId="0" applyFont="1" applyBorder="1"/>
    <xf numFmtId="0" fontId="25" fillId="0" borderId="7" xfId="0" applyFont="1" applyBorder="1" applyAlignment="1" applyProtection="1">
      <alignment horizontal="left"/>
      <protection locked="0"/>
    </xf>
    <xf numFmtId="0" fontId="25" fillId="0" borderId="9" xfId="0" applyFont="1" applyBorder="1" applyAlignment="1" applyProtection="1">
      <alignment horizontal="left"/>
      <protection locked="0"/>
    </xf>
    <xf numFmtId="0" fontId="25" fillId="0" borderId="6" xfId="0" applyFont="1" applyBorder="1" applyAlignment="1" applyProtection="1">
      <alignment horizontal="left"/>
      <protection locked="0"/>
    </xf>
    <xf numFmtId="0" fontId="24" fillId="8" borderId="7" xfId="0" applyFont="1" applyFill="1" applyBorder="1" applyAlignment="1">
      <alignment horizontal="center"/>
    </xf>
    <xf numFmtId="0" fontId="24" fillId="8" borderId="8" xfId="0" applyFont="1" applyFill="1" applyBorder="1" applyAlignment="1">
      <alignment horizontal="center"/>
    </xf>
    <xf numFmtId="0" fontId="24" fillId="8" borderId="9" xfId="0" applyFont="1" applyFill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3" fillId="6" borderId="11" xfId="0" applyFont="1" applyFill="1" applyBorder="1" applyAlignment="1">
      <alignment horizontal="center"/>
    </xf>
    <xf numFmtId="0" fontId="5" fillId="0" borderId="11" xfId="0" applyFont="1" applyBorder="1"/>
    <xf numFmtId="0" fontId="3" fillId="6" borderId="10" xfId="0" applyFont="1" applyFill="1" applyBorder="1" applyAlignment="1">
      <alignment horizontal="center" vertical="center"/>
    </xf>
    <xf numFmtId="0" fontId="6" fillId="3" borderId="6" xfId="0" applyFont="1" applyFill="1" applyBorder="1" applyAlignment="1" applyProtection="1">
      <alignment horizontal="center"/>
      <protection locked="0"/>
    </xf>
    <xf numFmtId="0" fontId="7" fillId="7" borderId="6" xfId="0" applyFont="1" applyFill="1" applyBorder="1" applyAlignment="1">
      <alignment horizontal="right"/>
    </xf>
    <xf numFmtId="0" fontId="1" fillId="3" borderId="6" xfId="0" applyFont="1" applyFill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874058" cy="702235"/>
    <xdr:pic>
      <xdr:nvPicPr>
        <xdr:cNvPr id="2" name="image1.png">
          <a:extLst>
            <a:ext uri="{FF2B5EF4-FFF2-40B4-BE49-F238E27FC236}">
              <a16:creationId xmlns:a16="http://schemas.microsoft.com/office/drawing/2014/main" id="{BA48AB09-D90F-49D1-AD49-8A52482AD5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874058" cy="70223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874058" cy="702235"/>
    <xdr:pic>
      <xdr:nvPicPr>
        <xdr:cNvPr id="2" name="image1.png">
          <a:extLst>
            <a:ext uri="{FF2B5EF4-FFF2-40B4-BE49-F238E27FC236}">
              <a16:creationId xmlns:a16="http://schemas.microsoft.com/office/drawing/2014/main" id="{D7C20A4C-E753-49B4-BEE1-00A3EA472E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874058" cy="70223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176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A0C622-1920-4778-94FD-9D6EB52CB7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176" cy="781050"/>
        </a:xfrm>
        <a:prstGeom prst="rect">
          <a:avLst/>
        </a:prstGeom>
        <a:noFill/>
      </xdr:spPr>
    </xdr:pic>
    <xdr:clientData fLocksWithSheet="0"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DEF7-DF9F-4D0A-97BC-2B18069A6A08}">
  <sheetPr>
    <tabColor theme="6"/>
  </sheetPr>
  <dimension ref="A1:P31"/>
  <sheetViews>
    <sheetView topLeftCell="A7" zoomScale="85" zoomScaleNormal="85" workbookViewId="0">
      <selection activeCell="E16" sqref="E16"/>
    </sheetView>
  </sheetViews>
  <sheetFormatPr defaultRowHeight="13.2" x14ac:dyDescent="0.25"/>
  <cols>
    <col min="1" max="1" width="10.6640625" style="18" customWidth="1"/>
    <col min="2" max="2" width="21.109375" style="18" customWidth="1"/>
    <col min="3" max="3" width="39.109375" customWidth="1"/>
    <col min="4" max="4" width="16.109375" customWidth="1"/>
    <col min="5" max="5" width="19.88671875" customWidth="1"/>
    <col min="6" max="6" width="16.5546875" customWidth="1"/>
    <col min="8" max="8" width="8.6640625" customWidth="1"/>
    <col min="13" max="13" width="14.109375" bestFit="1" customWidth="1"/>
    <col min="14" max="14" width="13.88671875" bestFit="1" customWidth="1"/>
    <col min="15" max="15" width="14.6640625" bestFit="1" customWidth="1"/>
    <col min="16" max="16" width="7.44140625" bestFit="1" customWidth="1"/>
  </cols>
  <sheetData>
    <row r="1" spans="1:16" ht="70.5" customHeight="1" x14ac:dyDescent="0.4">
      <c r="A1" s="17"/>
      <c r="B1" s="82" t="s">
        <v>0</v>
      </c>
      <c r="C1" s="82"/>
      <c r="D1" s="82"/>
      <c r="E1" s="82"/>
      <c r="F1" s="82"/>
      <c r="G1" s="33"/>
      <c r="H1" s="33"/>
      <c r="I1" s="16"/>
      <c r="J1" s="16"/>
      <c r="K1" s="16"/>
      <c r="L1" s="15"/>
      <c r="M1" s="15"/>
      <c r="N1" s="15"/>
      <c r="O1" s="15"/>
      <c r="P1" s="15"/>
    </row>
    <row r="2" spans="1:16" s="14" customFormat="1" ht="30" x14ac:dyDescent="0.25">
      <c r="A2" s="83" t="s">
        <v>1</v>
      </c>
      <c r="B2" s="83"/>
      <c r="C2" s="83"/>
      <c r="D2" s="83"/>
      <c r="E2" s="83"/>
      <c r="F2" s="83"/>
      <c r="G2" s="13"/>
      <c r="H2" s="13"/>
      <c r="I2" s="13"/>
      <c r="J2"/>
      <c r="K2"/>
      <c r="L2"/>
      <c r="M2"/>
      <c r="N2"/>
      <c r="O2"/>
    </row>
    <row r="3" spans="1:16" ht="15.6" x14ac:dyDescent="0.3">
      <c r="A3" s="46" t="s">
        <v>2</v>
      </c>
      <c r="B3" s="65">
        <f ca="1">'CHI TIET'!M4</f>
        <v>46297.399875578703</v>
      </c>
      <c r="E3" s="4" t="s">
        <v>3</v>
      </c>
      <c r="F3" s="12">
        <f>'CHI TIET'!M5</f>
        <v>0</v>
      </c>
    </row>
    <row r="4" spans="1:16" ht="15.6" x14ac:dyDescent="0.3">
      <c r="A4" s="46" t="s">
        <v>4</v>
      </c>
      <c r="B4" s="60" t="str">
        <f>'CHI TIET'!C5</f>
        <v>66A-481.96</v>
      </c>
      <c r="E4" s="4" t="s">
        <v>5</v>
      </c>
      <c r="F4" s="47">
        <f>E25</f>
        <v>0</v>
      </c>
    </row>
    <row r="5" spans="1:16" ht="15.6" x14ac:dyDescent="0.3">
      <c r="A5" s="34"/>
      <c r="B5" s="34"/>
      <c r="C5" s="35"/>
      <c r="D5" s="35"/>
      <c r="E5" s="4" t="s">
        <v>6</v>
      </c>
      <c r="F5" s="45" t="e">
        <f>1-(F3/F4)</f>
        <v>#DIV/0!</v>
      </c>
      <c r="H5" s="44"/>
    </row>
    <row r="6" spans="1:16" s="29" customFormat="1" ht="15.6" x14ac:dyDescent="0.3">
      <c r="A6" s="43" t="s">
        <v>7</v>
      </c>
      <c r="B6" s="43" t="s">
        <v>8</v>
      </c>
      <c r="C6" s="43" t="s">
        <v>9</v>
      </c>
      <c r="D6" s="43" t="s">
        <v>10</v>
      </c>
      <c r="E6" s="43" t="s">
        <v>11</v>
      </c>
      <c r="F6" s="43" t="s">
        <v>12</v>
      </c>
      <c r="G6" s="31"/>
      <c r="H6" s="31"/>
      <c r="I6" s="31"/>
    </row>
    <row r="7" spans="1:16" ht="15" x14ac:dyDescent="0.25">
      <c r="A7" s="36">
        <v>1</v>
      </c>
      <c r="B7" s="37" t="s">
        <v>13</v>
      </c>
      <c r="C7" s="38" t="s">
        <v>14</v>
      </c>
      <c r="D7" s="36" t="s">
        <v>15</v>
      </c>
      <c r="E7" s="48">
        <f>'CHI TIET'!C83</f>
        <v>0</v>
      </c>
      <c r="F7" s="36"/>
      <c r="G7" s="32"/>
      <c r="H7" s="32"/>
      <c r="I7" s="32"/>
    </row>
    <row r="8" spans="1:16" ht="15" x14ac:dyDescent="0.25">
      <c r="A8" s="36">
        <v>2</v>
      </c>
      <c r="B8" s="37" t="s">
        <v>16</v>
      </c>
      <c r="C8" s="38" t="s">
        <v>17</v>
      </c>
      <c r="D8" s="36" t="s">
        <v>15</v>
      </c>
      <c r="E8" s="48">
        <f>'CHI TIET'!F82</f>
        <v>0</v>
      </c>
      <c r="F8" s="36"/>
      <c r="G8" s="32"/>
      <c r="H8" s="32"/>
      <c r="I8" s="32"/>
    </row>
    <row r="9" spans="1:16" ht="15" x14ac:dyDescent="0.25">
      <c r="A9" s="36">
        <v>3</v>
      </c>
      <c r="B9" s="37" t="s">
        <v>18</v>
      </c>
      <c r="C9" s="38" t="s">
        <v>19</v>
      </c>
      <c r="D9" s="36" t="s">
        <v>15</v>
      </c>
      <c r="E9" s="48">
        <f>'CHI TIET'!C84</f>
        <v>0</v>
      </c>
      <c r="F9" s="36"/>
      <c r="G9" s="32"/>
      <c r="H9" s="32"/>
      <c r="I9" s="32"/>
    </row>
    <row r="10" spans="1:16" ht="15" x14ac:dyDescent="0.25">
      <c r="A10" s="36">
        <v>4</v>
      </c>
      <c r="B10" s="37" t="s">
        <v>20</v>
      </c>
      <c r="C10" s="38" t="s">
        <v>21</v>
      </c>
      <c r="D10" s="36" t="s">
        <v>15</v>
      </c>
      <c r="E10" s="48">
        <f>'CHI TIET'!F83</f>
        <v>0</v>
      </c>
      <c r="F10" s="36"/>
      <c r="G10" s="32"/>
      <c r="H10" s="32"/>
      <c r="I10" s="32"/>
    </row>
    <row r="11" spans="1:16" ht="15" x14ac:dyDescent="0.25">
      <c r="A11" s="36">
        <v>5</v>
      </c>
      <c r="B11" s="37" t="s">
        <v>22</v>
      </c>
      <c r="C11" s="38" t="s">
        <v>23</v>
      </c>
      <c r="D11" s="36" t="s">
        <v>15</v>
      </c>
      <c r="E11" s="48">
        <f>'CHI TIET'!F84</f>
        <v>0</v>
      </c>
      <c r="F11" s="36"/>
      <c r="G11" s="32"/>
      <c r="H11" s="32"/>
      <c r="I11" s="32"/>
    </row>
    <row r="12" spans="1:16" ht="15" x14ac:dyDescent="0.25">
      <c r="A12" s="36">
        <v>6</v>
      </c>
      <c r="B12" s="36"/>
      <c r="C12" s="38" t="s">
        <v>24</v>
      </c>
      <c r="D12" s="36" t="s">
        <v>15</v>
      </c>
      <c r="E12" s="48">
        <f>'CHI TIET'!C82</f>
        <v>0</v>
      </c>
      <c r="F12" s="36" t="s">
        <v>25</v>
      </c>
      <c r="G12" s="32"/>
      <c r="H12" s="32"/>
      <c r="I12" s="32"/>
    </row>
    <row r="13" spans="1:16" ht="15" x14ac:dyDescent="0.25">
      <c r="A13" s="36">
        <v>7</v>
      </c>
      <c r="B13" s="37" t="s">
        <v>26</v>
      </c>
      <c r="C13" s="38" t="s">
        <v>27</v>
      </c>
      <c r="D13" s="36" t="s">
        <v>15</v>
      </c>
      <c r="E13" s="48">
        <f>'CHI TIET'!I78</f>
        <v>0</v>
      </c>
      <c r="F13" s="36"/>
      <c r="G13" s="32"/>
      <c r="H13" s="32"/>
      <c r="I13" s="32"/>
    </row>
    <row r="14" spans="1:16" ht="15" x14ac:dyDescent="0.25">
      <c r="A14" s="36">
        <v>8</v>
      </c>
      <c r="B14" s="37" t="s">
        <v>28</v>
      </c>
      <c r="C14" s="38" t="s">
        <v>29</v>
      </c>
      <c r="D14" s="36" t="s">
        <v>15</v>
      </c>
      <c r="E14" s="48">
        <f>'CHI TIET'!I79</f>
        <v>0</v>
      </c>
      <c r="F14" s="36"/>
      <c r="G14" s="32"/>
      <c r="H14" s="32"/>
      <c r="I14" s="32"/>
    </row>
    <row r="15" spans="1:16" ht="15" x14ac:dyDescent="0.25">
      <c r="A15" s="36">
        <v>9</v>
      </c>
      <c r="B15" s="37" t="s">
        <v>30</v>
      </c>
      <c r="C15" s="38" t="s">
        <v>31</v>
      </c>
      <c r="D15" s="36" t="s">
        <v>15</v>
      </c>
      <c r="E15" s="48">
        <f>'CHI TIET'!C79</f>
        <v>0</v>
      </c>
      <c r="F15" s="36"/>
      <c r="G15" s="32"/>
      <c r="H15" s="32"/>
      <c r="I15" s="32"/>
    </row>
    <row r="16" spans="1:16" ht="15" x14ac:dyDescent="0.25">
      <c r="A16" s="36">
        <v>10</v>
      </c>
      <c r="B16" s="37" t="s">
        <v>32</v>
      </c>
      <c r="C16" s="38" t="s">
        <v>33</v>
      </c>
      <c r="D16" s="36" t="s">
        <v>15</v>
      </c>
      <c r="E16" s="48">
        <f>'CHI TIET'!F78</f>
        <v>0</v>
      </c>
      <c r="F16" s="36"/>
      <c r="G16" s="32"/>
      <c r="H16" s="32"/>
      <c r="I16" s="32"/>
    </row>
    <row r="17" spans="1:9" ht="15" x14ac:dyDescent="0.25">
      <c r="A17" s="36">
        <v>11</v>
      </c>
      <c r="B17" s="37" t="s">
        <v>34</v>
      </c>
      <c r="C17" s="38" t="s">
        <v>35</v>
      </c>
      <c r="D17" s="36" t="s">
        <v>15</v>
      </c>
      <c r="E17" s="48">
        <f>'CHI TIET'!C80</f>
        <v>0</v>
      </c>
      <c r="F17" s="36"/>
      <c r="G17" s="32"/>
      <c r="H17" s="32"/>
      <c r="I17" s="32"/>
    </row>
    <row r="18" spans="1:9" ht="15" x14ac:dyDescent="0.25">
      <c r="A18" s="36">
        <v>12</v>
      </c>
      <c r="B18" s="37" t="s">
        <v>36</v>
      </c>
      <c r="C18" s="38" t="s">
        <v>37</v>
      </c>
      <c r="D18" s="36" t="s">
        <v>15</v>
      </c>
      <c r="E18" s="48">
        <f>'CHI TIET'!F79</f>
        <v>0</v>
      </c>
      <c r="F18" s="36"/>
      <c r="G18" s="32"/>
      <c r="H18" s="32"/>
      <c r="I18" s="32"/>
    </row>
    <row r="19" spans="1:9" ht="15" x14ac:dyDescent="0.25">
      <c r="A19" s="36">
        <v>13</v>
      </c>
      <c r="B19" s="37" t="s">
        <v>38</v>
      </c>
      <c r="C19" s="38" t="s">
        <v>39</v>
      </c>
      <c r="D19" s="36" t="s">
        <v>15</v>
      </c>
      <c r="E19" s="48">
        <f>'CHI TIET'!F80</f>
        <v>0</v>
      </c>
      <c r="F19" s="36"/>
      <c r="G19" s="32"/>
      <c r="H19" s="32"/>
      <c r="I19" s="32"/>
    </row>
    <row r="20" spans="1:9" ht="15" x14ac:dyDescent="0.25">
      <c r="A20" s="36">
        <v>14</v>
      </c>
      <c r="B20" s="36"/>
      <c r="C20" s="38" t="s">
        <v>40</v>
      </c>
      <c r="D20" s="36" t="s">
        <v>15</v>
      </c>
      <c r="E20" s="48">
        <f>'CHI TIET'!C78</f>
        <v>0</v>
      </c>
      <c r="F20" s="36" t="s">
        <v>25</v>
      </c>
      <c r="G20" s="32"/>
      <c r="H20" s="32"/>
      <c r="I20" s="32"/>
    </row>
    <row r="21" spans="1:9" ht="15" x14ac:dyDescent="0.25">
      <c r="A21" s="36">
        <v>15</v>
      </c>
      <c r="B21" s="37" t="s">
        <v>41</v>
      </c>
      <c r="C21" s="38" t="s">
        <v>42</v>
      </c>
      <c r="D21" s="36" t="s">
        <v>15</v>
      </c>
      <c r="E21" s="49">
        <f>'CHI TIET'!C87</f>
        <v>0</v>
      </c>
      <c r="F21" s="39"/>
    </row>
    <row r="22" spans="1:9" ht="15" x14ac:dyDescent="0.25">
      <c r="A22" s="36">
        <v>16</v>
      </c>
      <c r="B22" s="37" t="s">
        <v>43</v>
      </c>
      <c r="C22" s="38" t="s">
        <v>44</v>
      </c>
      <c r="D22" s="36" t="s">
        <v>15</v>
      </c>
      <c r="E22" s="48">
        <f>'CHI TIET'!C88</f>
        <v>0</v>
      </c>
      <c r="F22" s="39"/>
    </row>
    <row r="23" spans="1:9" ht="15" x14ac:dyDescent="0.25">
      <c r="A23" s="36">
        <v>17</v>
      </c>
      <c r="B23" s="38" t="s">
        <v>45</v>
      </c>
      <c r="C23" s="38" t="s">
        <v>46</v>
      </c>
      <c r="D23" s="36" t="s">
        <v>15</v>
      </c>
      <c r="E23" s="48">
        <f>'CHI TIET'!C85</f>
        <v>0</v>
      </c>
      <c r="F23" s="39"/>
    </row>
    <row r="24" spans="1:9" ht="15" x14ac:dyDescent="0.25">
      <c r="A24" s="36">
        <v>18</v>
      </c>
      <c r="B24" s="38" t="s">
        <v>47</v>
      </c>
      <c r="C24" s="38" t="s">
        <v>48</v>
      </c>
      <c r="D24" s="36" t="s">
        <v>15</v>
      </c>
      <c r="E24" s="48">
        <f>'CHI TIET'!F85</f>
        <v>0</v>
      </c>
      <c r="F24" s="39"/>
    </row>
    <row r="25" spans="1:9" ht="15.6" x14ac:dyDescent="0.3">
      <c r="A25" s="40"/>
      <c r="B25" s="79" t="s">
        <v>49</v>
      </c>
      <c r="C25" s="80"/>
      <c r="D25" s="81"/>
      <c r="E25" s="41">
        <f>SUM(E7:E22)</f>
        <v>0</v>
      </c>
      <c r="F25" s="42"/>
    </row>
    <row r="31" spans="1:9" ht="13.8" x14ac:dyDescent="0.25">
      <c r="A31" s="30" t="s">
        <v>50</v>
      </c>
      <c r="C31" s="30" t="s">
        <v>51</v>
      </c>
      <c r="D31" s="30" t="s">
        <v>52</v>
      </c>
      <c r="F31" s="30" t="s">
        <v>53</v>
      </c>
    </row>
  </sheetData>
  <mergeCells count="3">
    <mergeCell ref="B25:D25"/>
    <mergeCell ref="B1:F1"/>
    <mergeCell ref="A2:F2"/>
  </mergeCells>
  <phoneticPr fontId="21" type="noConversion"/>
  <conditionalFormatting sqref="K2">
    <cfRule type="duplicateValues" dxfId="1" priority="1"/>
  </conditionalFormatting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3A2A-2EEB-4418-AA83-09E919143C98}">
  <sheetPr>
    <tabColor theme="6"/>
  </sheetPr>
  <dimension ref="A1:P27"/>
  <sheetViews>
    <sheetView zoomScale="85" zoomScaleNormal="85" workbookViewId="0">
      <selection activeCell="E15" sqref="E15"/>
    </sheetView>
  </sheetViews>
  <sheetFormatPr defaultRowHeight="13.2" x14ac:dyDescent="0.25"/>
  <cols>
    <col min="1" max="1" width="12.109375" style="18" customWidth="1"/>
    <col min="2" max="2" width="21.109375" style="18" customWidth="1"/>
    <col min="3" max="3" width="39.109375" customWidth="1"/>
    <col min="4" max="4" width="16.109375" customWidth="1"/>
    <col min="5" max="5" width="19.88671875" customWidth="1"/>
    <col min="6" max="6" width="16.5546875" customWidth="1"/>
    <col min="7" max="7" width="9.109375" bestFit="1" customWidth="1"/>
    <col min="8" max="8" width="20.109375" customWidth="1"/>
    <col min="9" max="9" width="9.109375" bestFit="1" customWidth="1"/>
    <col min="10" max="10" width="16.33203125" customWidth="1"/>
    <col min="11" max="11" width="18.109375" customWidth="1"/>
    <col min="12" max="12" width="23.5546875" customWidth="1"/>
    <col min="13" max="13" width="14.109375" bestFit="1" customWidth="1"/>
    <col min="14" max="14" width="13.88671875" bestFit="1" customWidth="1"/>
    <col min="15" max="15" width="14.6640625" bestFit="1" customWidth="1"/>
    <col min="16" max="16" width="7.44140625" bestFit="1" customWidth="1"/>
  </cols>
  <sheetData>
    <row r="1" spans="1:16" ht="70.5" customHeight="1" x14ac:dyDescent="0.4">
      <c r="A1" s="17"/>
      <c r="B1" s="82" t="s">
        <v>0</v>
      </c>
      <c r="C1" s="82"/>
      <c r="D1" s="82"/>
      <c r="E1" s="82"/>
      <c r="F1" s="82"/>
      <c r="G1" s="33"/>
      <c r="H1" s="33"/>
      <c r="I1" s="16"/>
      <c r="J1" s="16"/>
      <c r="K1" s="16"/>
      <c r="L1" s="15"/>
      <c r="M1" s="15"/>
      <c r="N1" s="15"/>
      <c r="O1" s="15"/>
      <c r="P1" s="15"/>
    </row>
    <row r="2" spans="1:16" s="14" customFormat="1" ht="30" x14ac:dyDescent="0.25">
      <c r="A2" s="84" t="s">
        <v>1</v>
      </c>
      <c r="B2" s="84"/>
      <c r="C2" s="84"/>
      <c r="D2" s="84"/>
      <c r="E2" s="84"/>
      <c r="F2" s="84"/>
      <c r="G2" s="13"/>
      <c r="H2" s="13"/>
      <c r="I2" s="13"/>
      <c r="J2"/>
      <c r="K2"/>
      <c r="L2"/>
      <c r="M2"/>
      <c r="N2"/>
      <c r="O2"/>
    </row>
    <row r="3" spans="1:16" ht="15.6" x14ac:dyDescent="0.3">
      <c r="A3" s="66" t="s">
        <v>2</v>
      </c>
      <c r="B3" s="65">
        <f ca="1">'CHI TIET'!M4</f>
        <v>46297.399875578703</v>
      </c>
      <c r="E3" s="66" t="s">
        <v>3</v>
      </c>
      <c r="F3" s="12">
        <f>'CHI TIET'!M5</f>
        <v>0</v>
      </c>
    </row>
    <row r="4" spans="1:16" ht="15.6" x14ac:dyDescent="0.3">
      <c r="A4" s="66" t="s">
        <v>4</v>
      </c>
      <c r="B4" s="67" t="str">
        <f>'CHI TIET'!C5</f>
        <v>66A-481.96</v>
      </c>
      <c r="E4" s="66" t="s">
        <v>5</v>
      </c>
      <c r="F4" s="47" t="e" vm="1">
        <f>E23</f>
        <v>#VALUE!</v>
      </c>
    </row>
    <row r="5" spans="1:16" ht="15.6" x14ac:dyDescent="0.3">
      <c r="A5" s="66" t="s">
        <v>54</v>
      </c>
      <c r="B5" s="68" t="str">
        <f>MID('CHI TIET'!D6,7,8)</f>
        <v/>
      </c>
      <c r="E5" s="66" t="s">
        <v>6</v>
      </c>
      <c r="F5" s="45" t="e" vm="1">
        <f>1-(F3/F4)</f>
        <v>#VALUE!</v>
      </c>
      <c r="H5" s="44"/>
    </row>
    <row r="6" spans="1:16" s="29" customFormat="1" ht="15.6" x14ac:dyDescent="0.3">
      <c r="A6" s="43" t="s">
        <v>7</v>
      </c>
      <c r="B6" s="43" t="s">
        <v>8</v>
      </c>
      <c r="C6" s="43" t="s">
        <v>9</v>
      </c>
      <c r="D6" s="43" t="s">
        <v>10</v>
      </c>
      <c r="E6" s="43" t="s">
        <v>11</v>
      </c>
      <c r="F6" s="43" t="s">
        <v>12</v>
      </c>
      <c r="G6" s="31"/>
      <c r="H6" s="31"/>
      <c r="I6" s="31"/>
    </row>
    <row r="7" spans="1:16" ht="15" x14ac:dyDescent="0.25">
      <c r="A7" s="36">
        <v>1</v>
      </c>
      <c r="B7" s="37" t="e" cm="1" vm="2">
        <f t="array" ref="B7">_xlfn._xlws.FILTER('TẤT CẢ'!B7:B24, ('TẤT CẢ'!E7:E24&lt;&gt;0) * ('TẤT CẢ'!E7:E24&lt;&gt;""))</f>
        <v>#VALUE!</v>
      </c>
      <c r="C7" s="37" t="e" cm="1" vm="2">
        <f t="array" ref="C7">_xlfn._xlws.FILTER('TẤT CẢ'!C7:C24, ('TẤT CẢ'!E7:E24&lt;&gt;0) * ('TẤT CẢ'!E7:E24&lt;&gt;""))</f>
        <v>#VALUE!</v>
      </c>
      <c r="D7" s="37" t="e" cm="1" vm="2">
        <f t="array" ref="D7">_xlfn._xlws.FILTER('TẤT CẢ'!D7:D24, ('TẤT CẢ'!E7:E24&lt;&gt;0) * ('TẤT CẢ'!E7:E24&lt;&gt;""))</f>
        <v>#VALUE!</v>
      </c>
      <c r="E7" s="37" t="e" cm="1" vm="2">
        <f t="array" ref="E7">_xlfn._xlws.FILTER('TẤT CẢ'!E7:E24, ('TẤT CẢ'!E7:E24&lt;&gt;0) * ('TẤT CẢ'!E7:E24&lt;&gt;""))</f>
        <v>#VALUE!</v>
      </c>
      <c r="F7" s="37" t="e" cm="1" vm="2">
        <f t="array" ref="F7">_xlfn._xlws.FILTER('TẤT CẢ'!F7:F24, ('TẤT CẢ'!E7:E24&lt;&gt;0) * ('TẤT CẢ'!E7:E24&lt;&gt;""))</f>
        <v>#VALUE!</v>
      </c>
      <c r="G7" s="32"/>
      <c r="H7" s="32"/>
      <c r="I7" s="32"/>
    </row>
    <row r="8" spans="1:16" ht="15" x14ac:dyDescent="0.25">
      <c r="A8" s="36">
        <v>2</v>
      </c>
      <c r="B8" s="37"/>
      <c r="C8" s="37"/>
      <c r="D8" s="37"/>
      <c r="E8" s="37"/>
      <c r="F8" s="37"/>
      <c r="G8" s="32"/>
      <c r="H8" s="32"/>
      <c r="I8" s="32"/>
    </row>
    <row r="9" spans="1:16" ht="15" x14ac:dyDescent="0.25">
      <c r="A9" s="36">
        <v>3</v>
      </c>
      <c r="B9" s="37"/>
      <c r="C9" s="38"/>
      <c r="D9" s="36"/>
      <c r="E9" s="48"/>
      <c r="F9" s="36"/>
      <c r="G9" s="32"/>
      <c r="H9" s="32"/>
      <c r="I9" s="32"/>
    </row>
    <row r="10" spans="1:16" ht="15" x14ac:dyDescent="0.25">
      <c r="A10" s="36">
        <v>4</v>
      </c>
      <c r="B10" s="37"/>
      <c r="C10" s="38"/>
      <c r="D10" s="36"/>
      <c r="E10" s="48"/>
      <c r="F10" s="36"/>
      <c r="G10" s="32"/>
      <c r="H10" s="32"/>
      <c r="I10" s="32"/>
    </row>
    <row r="11" spans="1:16" ht="15" x14ac:dyDescent="0.25">
      <c r="A11" s="36">
        <v>5</v>
      </c>
      <c r="B11" s="37"/>
      <c r="C11" s="38"/>
      <c r="D11" s="36"/>
      <c r="E11" s="48"/>
      <c r="F11" s="36"/>
      <c r="G11" s="32"/>
      <c r="H11" s="32"/>
      <c r="I11" s="32"/>
    </row>
    <row r="12" spans="1:16" ht="15" x14ac:dyDescent="0.25">
      <c r="A12" s="36">
        <v>6</v>
      </c>
      <c r="B12" s="36"/>
      <c r="C12" s="38"/>
      <c r="D12" s="36"/>
      <c r="E12" s="48"/>
      <c r="F12" s="36"/>
      <c r="G12" s="32"/>
      <c r="H12" s="32"/>
      <c r="I12" s="32"/>
    </row>
    <row r="13" spans="1:16" ht="15" x14ac:dyDescent="0.25">
      <c r="A13" s="36">
        <v>7</v>
      </c>
      <c r="B13" s="37"/>
      <c r="C13" s="38"/>
      <c r="D13" s="36"/>
      <c r="E13" s="48"/>
      <c r="F13" s="36"/>
      <c r="G13" s="32"/>
      <c r="H13" s="32"/>
      <c r="I13" s="32"/>
    </row>
    <row r="14" spans="1:16" ht="15" x14ac:dyDescent="0.25">
      <c r="A14" s="36">
        <v>8</v>
      </c>
      <c r="B14" s="37"/>
      <c r="C14" s="38"/>
      <c r="D14" s="36"/>
      <c r="E14" s="48"/>
      <c r="F14" s="36"/>
      <c r="G14" s="32"/>
      <c r="H14" s="32"/>
      <c r="I14" s="32"/>
    </row>
    <row r="15" spans="1:16" ht="15" x14ac:dyDescent="0.25">
      <c r="A15" s="36">
        <v>9</v>
      </c>
      <c r="B15" s="37"/>
      <c r="C15" s="38"/>
      <c r="D15" s="36"/>
      <c r="E15" s="48"/>
      <c r="F15" s="36"/>
      <c r="G15" s="32"/>
      <c r="H15" s="32"/>
      <c r="I15" s="32"/>
    </row>
    <row r="16" spans="1:16" ht="15" x14ac:dyDescent="0.25">
      <c r="A16" s="36">
        <v>10</v>
      </c>
      <c r="B16" s="37"/>
      <c r="C16" s="38"/>
      <c r="D16" s="36"/>
      <c r="E16" s="48"/>
      <c r="F16" s="36"/>
      <c r="G16" s="32"/>
      <c r="H16" s="32"/>
      <c r="I16" s="32"/>
    </row>
    <row r="17" spans="1:9" ht="15" x14ac:dyDescent="0.25">
      <c r="A17" s="36">
        <v>11</v>
      </c>
      <c r="B17" s="37"/>
      <c r="C17" s="38"/>
      <c r="D17" s="36"/>
      <c r="E17" s="48"/>
      <c r="F17" s="36"/>
      <c r="G17" s="32"/>
      <c r="H17" s="32"/>
      <c r="I17" s="32"/>
    </row>
    <row r="18" spans="1:9" ht="15" x14ac:dyDescent="0.25">
      <c r="A18" s="36">
        <v>12</v>
      </c>
      <c r="B18" s="37"/>
      <c r="C18" s="38"/>
      <c r="D18" s="36"/>
      <c r="E18" s="48"/>
      <c r="F18" s="36"/>
      <c r="G18" s="32"/>
      <c r="H18" s="32"/>
      <c r="I18" s="32"/>
    </row>
    <row r="19" spans="1:9" ht="15" x14ac:dyDescent="0.25">
      <c r="A19" s="36">
        <v>13</v>
      </c>
      <c r="B19" s="37"/>
      <c r="C19" s="38"/>
      <c r="D19" s="36"/>
      <c r="E19" s="48"/>
      <c r="F19" s="36"/>
      <c r="G19" s="32"/>
      <c r="H19" s="32"/>
      <c r="I19" s="32"/>
    </row>
    <row r="20" spans="1:9" ht="15" x14ac:dyDescent="0.25">
      <c r="A20" s="36">
        <v>14</v>
      </c>
      <c r="B20" s="36"/>
      <c r="C20" s="38"/>
      <c r="D20" s="36"/>
      <c r="E20" s="48"/>
      <c r="F20" s="36"/>
      <c r="G20" s="32"/>
      <c r="H20" s="32"/>
      <c r="I20" s="32"/>
    </row>
    <row r="21" spans="1:9" ht="15" x14ac:dyDescent="0.25">
      <c r="A21" s="36">
        <v>15</v>
      </c>
      <c r="B21" s="37"/>
      <c r="C21" s="38"/>
      <c r="D21" s="36"/>
      <c r="E21" s="49"/>
      <c r="F21" s="39"/>
    </row>
    <row r="22" spans="1:9" ht="15" x14ac:dyDescent="0.25">
      <c r="A22" s="36">
        <v>16</v>
      </c>
      <c r="B22" s="37"/>
      <c r="C22" s="38"/>
      <c r="D22" s="36"/>
      <c r="E22" s="49"/>
      <c r="F22" s="39"/>
    </row>
    <row r="23" spans="1:9" ht="15.6" x14ac:dyDescent="0.3">
      <c r="A23" s="40">
        <v>17</v>
      </c>
      <c r="B23" s="79" t="s">
        <v>49</v>
      </c>
      <c r="C23" s="80"/>
      <c r="D23" s="81"/>
      <c r="E23" s="41" t="e" vm="1">
        <f>SUM(E7:E22)</f>
        <v>#VALUE!</v>
      </c>
      <c r="F23" s="42"/>
    </row>
    <row r="27" spans="1:9" ht="13.8" x14ac:dyDescent="0.25">
      <c r="A27" s="30" t="s">
        <v>50</v>
      </c>
      <c r="C27" s="30" t="s">
        <v>51</v>
      </c>
      <c r="D27" s="30" t="s">
        <v>52</v>
      </c>
      <c r="F27" s="30" t="s">
        <v>53</v>
      </c>
    </row>
  </sheetData>
  <mergeCells count="3">
    <mergeCell ref="B1:F1"/>
    <mergeCell ref="A2:F2"/>
    <mergeCell ref="B23:D23"/>
  </mergeCells>
  <phoneticPr fontId="21" type="noConversion"/>
  <conditionalFormatting sqref="K2">
    <cfRule type="duplicateValues" dxfId="0" priority="1"/>
  </conditionalFormatting>
  <pageMargins left="0.7" right="0.7" top="0.75" bottom="0.75" header="0.3" footer="0.3"/>
  <pageSetup paperSize="9" fitToWidth="0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N1015"/>
  <sheetViews>
    <sheetView tabSelected="1" zoomScale="85" zoomScaleNormal="85" zoomScaleSheetLayoutView="40" workbookViewId="0">
      <selection activeCell="K15" sqref="K15"/>
    </sheetView>
  </sheetViews>
  <sheetFormatPr defaultColWidth="12.5546875" defaultRowHeight="15" customHeight="1" x14ac:dyDescent="0.25"/>
  <cols>
    <col min="1" max="1" width="6.109375" customWidth="1"/>
    <col min="2" max="2" width="14.88671875" customWidth="1"/>
    <col min="3" max="6" width="12.5546875" customWidth="1"/>
    <col min="13" max="13" width="26.33203125" customWidth="1"/>
  </cols>
  <sheetData>
    <row r="1" spans="1:14" ht="29.4" customHeight="1" x14ac:dyDescent="0.4">
      <c r="A1" s="1"/>
      <c r="B1" s="70" t="s">
        <v>55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4" ht="24.6" customHeight="1" x14ac:dyDescent="0.4">
      <c r="A2" s="1"/>
      <c r="B2" s="72" t="s">
        <v>56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1:14" ht="15.75" customHeight="1" x14ac:dyDescent="0.3">
      <c r="A3" s="1"/>
      <c r="B3" s="2"/>
      <c r="D3" s="10"/>
      <c r="E3" s="2"/>
      <c r="F3" s="2"/>
      <c r="G3" s="2"/>
      <c r="H3" s="2"/>
      <c r="I3" s="2"/>
      <c r="J3" s="2"/>
    </row>
    <row r="4" spans="1:14" ht="15.75" customHeight="1" x14ac:dyDescent="0.3">
      <c r="A4" s="24" t="s">
        <v>57</v>
      </c>
      <c r="B4" s="2"/>
      <c r="D4" s="10"/>
      <c r="E4" s="2"/>
      <c r="F4" s="2"/>
      <c r="G4" s="2"/>
      <c r="H4" s="2"/>
      <c r="I4" s="2"/>
      <c r="J4" s="2"/>
      <c r="L4" s="52" t="s">
        <v>2</v>
      </c>
      <c r="M4" s="65">
        <f ca="1">NOW()</f>
        <v>46297.399875578703</v>
      </c>
    </row>
    <row r="5" spans="1:14" ht="15.75" customHeight="1" x14ac:dyDescent="0.3">
      <c r="A5" s="55" t="s">
        <v>4</v>
      </c>
      <c r="B5" s="51"/>
      <c r="C5" s="63" t="s">
        <v>58</v>
      </c>
      <c r="D5" s="54"/>
      <c r="E5" s="54"/>
      <c r="F5" s="54"/>
      <c r="G5" s="54"/>
      <c r="H5" s="54"/>
      <c r="I5" s="10"/>
      <c r="J5" s="10"/>
      <c r="L5" s="4" t="s">
        <v>3</v>
      </c>
      <c r="M5" s="12"/>
    </row>
    <row r="6" spans="1:14" ht="15.75" customHeight="1" x14ac:dyDescent="0.3">
      <c r="A6" s="51"/>
      <c r="B6" s="56" t="s">
        <v>59</v>
      </c>
      <c r="C6" s="57" t="s">
        <v>60</v>
      </c>
      <c r="D6" s="76"/>
      <c r="E6" s="77"/>
      <c r="F6" s="51"/>
      <c r="G6" s="56" t="s">
        <v>61</v>
      </c>
      <c r="H6" s="57" t="s">
        <v>60</v>
      </c>
      <c r="I6" s="76"/>
      <c r="J6" s="77"/>
      <c r="L6" s="22" t="s">
        <v>5</v>
      </c>
      <c r="M6" s="50">
        <f>I80+I83+C89</f>
        <v>0</v>
      </c>
    </row>
    <row r="7" spans="1:14" ht="15.75" customHeight="1" x14ac:dyDescent="0.3">
      <c r="A7" s="51"/>
      <c r="B7" s="56" t="s">
        <v>62</v>
      </c>
      <c r="C7" s="57" t="s">
        <v>63</v>
      </c>
      <c r="D7" s="92"/>
      <c r="E7" s="92"/>
      <c r="F7" s="51"/>
      <c r="G7" s="56" t="s">
        <v>64</v>
      </c>
      <c r="H7" s="57" t="s">
        <v>63</v>
      </c>
      <c r="I7" s="76"/>
      <c r="J7" s="77"/>
      <c r="L7" s="22" t="s">
        <v>65</v>
      </c>
      <c r="M7" s="25" t="e">
        <f>1-(M5/M6)</f>
        <v>#DIV/0!</v>
      </c>
    </row>
    <row r="8" spans="1:14" ht="15.75" customHeight="1" x14ac:dyDescent="0.3">
      <c r="A8" s="51"/>
      <c r="B8" s="56" t="s">
        <v>66</v>
      </c>
      <c r="C8" s="57"/>
      <c r="D8" s="78"/>
      <c r="E8" s="78"/>
      <c r="F8" s="51"/>
      <c r="G8" s="56" t="s">
        <v>67</v>
      </c>
      <c r="H8" s="57"/>
      <c r="I8" s="78"/>
      <c r="J8" s="78"/>
    </row>
    <row r="9" spans="1:14" ht="15.75" customHeight="1" x14ac:dyDescent="0.3">
      <c r="A9" s="51"/>
      <c r="B9" s="56" t="s">
        <v>68</v>
      </c>
      <c r="C9" s="57"/>
      <c r="D9" s="78"/>
      <c r="E9" s="78"/>
      <c r="F9" s="51"/>
      <c r="G9" s="56" t="s">
        <v>69</v>
      </c>
      <c r="H9" s="57"/>
      <c r="I9" s="78"/>
      <c r="J9" s="78"/>
    </row>
    <row r="10" spans="1:14" ht="15.75" customHeight="1" x14ac:dyDescent="0.25"/>
    <row r="11" spans="1:14" ht="15.75" customHeight="1" x14ac:dyDescent="0.3">
      <c r="A11" s="58" t="s">
        <v>70</v>
      </c>
      <c r="B11" s="53"/>
      <c r="C11" s="32"/>
      <c r="D11" s="11"/>
      <c r="E11" s="52"/>
      <c r="F11" s="5"/>
      <c r="G11" s="5"/>
      <c r="H11" s="2"/>
      <c r="I11" s="2"/>
      <c r="J11" s="2"/>
      <c r="L11" s="22"/>
    </row>
    <row r="12" spans="1:14" ht="15.75" customHeight="1" x14ac:dyDescent="0.3">
      <c r="A12" s="73" t="s">
        <v>71</v>
      </c>
      <c r="B12" s="74" t="s">
        <v>72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69" t="s">
        <v>73</v>
      </c>
    </row>
    <row r="13" spans="1:14" ht="15.75" customHeight="1" x14ac:dyDescent="0.3">
      <c r="A13" s="85"/>
      <c r="B13" s="86" t="s">
        <v>74</v>
      </c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8"/>
    </row>
    <row r="14" spans="1:14" ht="15.75" customHeight="1" x14ac:dyDescent="0.25">
      <c r="A14" s="61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90">
        <f>SUM(B14:L14)</f>
        <v>0</v>
      </c>
      <c r="N14" s="61"/>
    </row>
    <row r="15" spans="1:14" ht="15.75" customHeight="1" x14ac:dyDescent="0.25">
      <c r="A15" s="61"/>
      <c r="B15" s="61"/>
      <c r="C15" s="89"/>
      <c r="D15" s="89"/>
      <c r="E15" s="89"/>
      <c r="F15" s="89"/>
      <c r="G15" s="89"/>
      <c r="H15" s="89"/>
      <c r="I15" s="61"/>
      <c r="J15" s="61"/>
      <c r="K15" s="89"/>
      <c r="L15" s="89"/>
      <c r="M15" s="90">
        <f t="shared" ref="M15:M75" si="0">SUM(B15:L15)</f>
        <v>0</v>
      </c>
      <c r="N15" s="61"/>
    </row>
    <row r="16" spans="1:14" ht="15.75" customHeight="1" x14ac:dyDescent="0.25">
      <c r="A16" s="62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90">
        <f>SUM(B16:L16)</f>
        <v>0</v>
      </c>
      <c r="N16" s="61"/>
    </row>
    <row r="17" spans="1:14" ht="15.75" customHeight="1" x14ac:dyDescent="0.25">
      <c r="A17" s="61"/>
      <c r="B17" s="62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90">
        <f>SUM(B17:L17)</f>
        <v>0</v>
      </c>
      <c r="N17" s="61"/>
    </row>
    <row r="18" spans="1:14" ht="15.75" customHeight="1" x14ac:dyDescent="0.25">
      <c r="A18" s="61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90">
        <f t="shared" si="0"/>
        <v>0</v>
      </c>
      <c r="N18" s="61"/>
    </row>
    <row r="19" spans="1:14" ht="15.75" customHeight="1" x14ac:dyDescent="0.25">
      <c r="A19" s="62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90">
        <f t="shared" si="0"/>
        <v>0</v>
      </c>
      <c r="N19" s="61"/>
    </row>
    <row r="20" spans="1:14" ht="15.75" customHeight="1" x14ac:dyDescent="0.25">
      <c r="A20" s="62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90">
        <f>SUM(B20:L20)</f>
        <v>0</v>
      </c>
      <c r="N20" s="61"/>
    </row>
    <row r="21" spans="1:14" ht="15.75" customHeight="1" x14ac:dyDescent="0.25">
      <c r="A21" s="61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90">
        <f t="shared" si="0"/>
        <v>0</v>
      </c>
      <c r="N21" s="61"/>
    </row>
    <row r="22" spans="1:14" ht="15.75" customHeight="1" x14ac:dyDescent="0.25">
      <c r="A22" s="62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90">
        <f t="shared" si="0"/>
        <v>0</v>
      </c>
      <c r="N22" s="61"/>
    </row>
    <row r="23" spans="1:14" ht="15.75" customHeight="1" x14ac:dyDescent="0.25">
      <c r="A23" s="62"/>
      <c r="B23" s="61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90">
        <f t="shared" si="0"/>
        <v>0</v>
      </c>
      <c r="N23" s="61"/>
    </row>
    <row r="24" spans="1:14" ht="15.75" customHeight="1" x14ac:dyDescent="0.25">
      <c r="A24" s="61"/>
      <c r="B24" s="89"/>
      <c r="C24" s="89"/>
      <c r="D24" s="89"/>
      <c r="E24" s="89"/>
      <c r="F24" s="89"/>
      <c r="G24" s="89"/>
      <c r="H24" s="89"/>
      <c r="I24" s="89"/>
      <c r="J24" s="89"/>
      <c r="K24" s="61"/>
      <c r="L24" s="89"/>
      <c r="M24" s="90">
        <f>SUM(B24:L24)</f>
        <v>0</v>
      </c>
      <c r="N24" s="61"/>
    </row>
    <row r="25" spans="1:14" ht="15.75" customHeight="1" x14ac:dyDescent="0.25">
      <c r="A25" s="62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90">
        <f t="shared" si="0"/>
        <v>0</v>
      </c>
      <c r="N25" s="61"/>
    </row>
    <row r="26" spans="1:14" ht="15.75" customHeight="1" x14ac:dyDescent="0.25">
      <c r="A26" s="61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90">
        <f t="shared" si="0"/>
        <v>0</v>
      </c>
      <c r="N26" s="61"/>
    </row>
    <row r="27" spans="1:14" ht="15.75" customHeight="1" x14ac:dyDescent="0.25">
      <c r="A27" s="62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90">
        <f t="shared" si="0"/>
        <v>0</v>
      </c>
      <c r="N27" s="61"/>
    </row>
    <row r="28" spans="1:14" ht="15.75" customHeight="1" x14ac:dyDescent="0.25">
      <c r="A28" s="61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90">
        <f>SUM(B28:L28)</f>
        <v>0</v>
      </c>
      <c r="N28" s="61"/>
    </row>
    <row r="29" spans="1:14" ht="15.75" customHeight="1" x14ac:dyDescent="0.25">
      <c r="A29" s="62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90">
        <f>SUM(B29:L29)</f>
        <v>0</v>
      </c>
      <c r="N29" s="61"/>
    </row>
    <row r="30" spans="1:14" ht="15.75" customHeight="1" x14ac:dyDescent="0.25">
      <c r="A30" s="62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90">
        <f t="shared" si="0"/>
        <v>0</v>
      </c>
      <c r="N30" s="61"/>
    </row>
    <row r="31" spans="1:14" ht="15.75" customHeight="1" x14ac:dyDescent="0.3">
      <c r="A31" s="91"/>
      <c r="B31" s="61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90">
        <f>SUM(B31:L31)</f>
        <v>0</v>
      </c>
      <c r="N31" s="61"/>
    </row>
    <row r="32" spans="1:14" ht="15.75" customHeight="1" x14ac:dyDescent="0.25">
      <c r="A32" s="61"/>
      <c r="B32" s="62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90"/>
      <c r="N32" s="61"/>
    </row>
    <row r="33" spans="1:14" ht="15.75" customHeight="1" x14ac:dyDescent="0.3">
      <c r="A33" s="91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0">
        <f t="shared" si="0"/>
        <v>0</v>
      </c>
      <c r="N33" s="61"/>
    </row>
    <row r="34" spans="1:14" ht="15.75" customHeight="1" x14ac:dyDescent="0.3">
      <c r="A34" s="91"/>
      <c r="B34" s="89"/>
      <c r="C34" s="89"/>
      <c r="D34" s="89"/>
      <c r="E34" s="89"/>
      <c r="F34" s="91"/>
      <c r="G34" s="89"/>
      <c r="H34" s="89"/>
      <c r="I34" s="89"/>
      <c r="J34" s="89"/>
      <c r="K34" s="89"/>
      <c r="L34" s="89"/>
      <c r="M34" s="90">
        <f t="shared" si="0"/>
        <v>0</v>
      </c>
      <c r="N34" s="61"/>
    </row>
    <row r="35" spans="1:14" ht="15.75" customHeight="1" x14ac:dyDescent="0.25">
      <c r="A35" s="61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90">
        <f t="shared" si="0"/>
        <v>0</v>
      </c>
      <c r="N35" s="61"/>
    </row>
    <row r="36" spans="1:14" ht="15.75" customHeight="1" x14ac:dyDescent="0.25">
      <c r="A36" s="61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90">
        <f t="shared" si="0"/>
        <v>0</v>
      </c>
      <c r="N36" s="61"/>
    </row>
    <row r="37" spans="1:14" ht="15.75" customHeight="1" x14ac:dyDescent="0.3">
      <c r="A37" s="91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90">
        <f t="shared" si="0"/>
        <v>0</v>
      </c>
      <c r="N37" s="61"/>
    </row>
    <row r="38" spans="1:14" ht="15.75" customHeight="1" x14ac:dyDescent="0.3">
      <c r="A38" s="91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90">
        <f t="shared" si="0"/>
        <v>0</v>
      </c>
      <c r="N38" s="61"/>
    </row>
    <row r="39" spans="1:14" ht="15.75" customHeight="1" x14ac:dyDescent="0.3">
      <c r="A39" s="91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90">
        <f t="shared" si="0"/>
        <v>0</v>
      </c>
      <c r="N39" s="61"/>
    </row>
    <row r="40" spans="1:14" ht="15.75" customHeight="1" x14ac:dyDescent="0.3">
      <c r="A40" s="91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90">
        <f t="shared" si="0"/>
        <v>0</v>
      </c>
      <c r="N40" s="61"/>
    </row>
    <row r="41" spans="1:14" ht="15.75" customHeight="1" x14ac:dyDescent="0.3">
      <c r="A41" s="91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90">
        <f t="shared" si="0"/>
        <v>0</v>
      </c>
      <c r="N41" s="61"/>
    </row>
    <row r="42" spans="1:14" ht="15.75" customHeight="1" x14ac:dyDescent="0.3">
      <c r="A42" s="91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90">
        <f t="shared" si="0"/>
        <v>0</v>
      </c>
      <c r="N42" s="61"/>
    </row>
    <row r="43" spans="1:14" ht="15.75" customHeight="1" x14ac:dyDescent="0.3">
      <c r="A43" s="91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90">
        <f t="shared" si="0"/>
        <v>0</v>
      </c>
      <c r="N43" s="61"/>
    </row>
    <row r="44" spans="1:14" ht="15.75" customHeight="1" x14ac:dyDescent="0.3">
      <c r="A44" s="91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90">
        <f t="shared" si="0"/>
        <v>0</v>
      </c>
      <c r="N44" s="61"/>
    </row>
    <row r="45" spans="1:14" ht="15.75" customHeight="1" x14ac:dyDescent="0.25">
      <c r="A45" s="61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90">
        <f t="shared" si="0"/>
        <v>0</v>
      </c>
      <c r="N45" s="61"/>
    </row>
    <row r="46" spans="1:14" ht="15.75" customHeight="1" x14ac:dyDescent="0.3">
      <c r="A46" s="91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90">
        <f t="shared" si="0"/>
        <v>0</v>
      </c>
      <c r="N46" s="61"/>
    </row>
    <row r="47" spans="1:14" ht="15.75" customHeight="1" x14ac:dyDescent="0.3">
      <c r="A47" s="91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90">
        <f t="shared" si="0"/>
        <v>0</v>
      </c>
      <c r="N47" s="61"/>
    </row>
    <row r="48" spans="1:14" ht="15.75" customHeight="1" x14ac:dyDescent="0.3">
      <c r="A48" s="91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90">
        <f t="shared" si="0"/>
        <v>0</v>
      </c>
      <c r="N48" s="64"/>
    </row>
    <row r="49" spans="1:14" ht="15.75" customHeight="1" x14ac:dyDescent="0.3">
      <c r="A49" s="91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90">
        <f t="shared" si="0"/>
        <v>0</v>
      </c>
      <c r="N49" s="61"/>
    </row>
    <row r="50" spans="1:14" ht="15.75" customHeight="1" x14ac:dyDescent="0.3">
      <c r="A50" s="91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90">
        <f t="shared" si="0"/>
        <v>0</v>
      </c>
      <c r="N50" s="61"/>
    </row>
    <row r="51" spans="1:14" ht="15.75" customHeight="1" x14ac:dyDescent="0.3">
      <c r="A51" s="91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90">
        <f t="shared" si="0"/>
        <v>0</v>
      </c>
      <c r="N51" s="61"/>
    </row>
    <row r="52" spans="1:14" ht="15.75" customHeight="1" x14ac:dyDescent="0.3">
      <c r="A52" s="91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90">
        <f t="shared" si="0"/>
        <v>0</v>
      </c>
      <c r="N52" s="61"/>
    </row>
    <row r="53" spans="1:14" ht="15.75" customHeight="1" x14ac:dyDescent="0.3">
      <c r="A53" s="91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90">
        <f t="shared" si="0"/>
        <v>0</v>
      </c>
      <c r="N53" s="61"/>
    </row>
    <row r="54" spans="1:14" ht="15.75" customHeight="1" x14ac:dyDescent="0.3">
      <c r="A54" s="91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90">
        <f t="shared" si="0"/>
        <v>0</v>
      </c>
      <c r="N54" s="61"/>
    </row>
    <row r="55" spans="1:14" ht="15.75" customHeight="1" x14ac:dyDescent="0.3">
      <c r="A55" s="91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90">
        <f t="shared" si="0"/>
        <v>0</v>
      </c>
      <c r="N55" s="61"/>
    </row>
    <row r="56" spans="1:14" ht="15.75" customHeight="1" x14ac:dyDescent="0.3">
      <c r="A56" s="91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90">
        <f t="shared" si="0"/>
        <v>0</v>
      </c>
      <c r="N56" s="61"/>
    </row>
    <row r="57" spans="1:14" ht="15.75" customHeight="1" x14ac:dyDescent="0.3">
      <c r="A57" s="91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90">
        <f t="shared" si="0"/>
        <v>0</v>
      </c>
      <c r="N57" s="61"/>
    </row>
    <row r="58" spans="1:14" ht="15.75" customHeight="1" x14ac:dyDescent="0.3">
      <c r="A58" s="91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90">
        <f t="shared" si="0"/>
        <v>0</v>
      </c>
      <c r="N58" s="61"/>
    </row>
    <row r="59" spans="1:14" ht="15.75" customHeight="1" x14ac:dyDescent="0.3">
      <c r="A59" s="91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90">
        <f t="shared" si="0"/>
        <v>0</v>
      </c>
      <c r="N59" s="61"/>
    </row>
    <row r="60" spans="1:14" ht="15.75" customHeight="1" x14ac:dyDescent="0.3">
      <c r="A60" s="91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90">
        <f t="shared" si="0"/>
        <v>0</v>
      </c>
      <c r="N60" s="61"/>
    </row>
    <row r="61" spans="1:14" ht="15.75" customHeight="1" x14ac:dyDescent="0.3">
      <c r="A61" s="91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90">
        <f t="shared" si="0"/>
        <v>0</v>
      </c>
      <c r="N61" s="61"/>
    </row>
    <row r="62" spans="1:14" ht="15.75" customHeight="1" x14ac:dyDescent="0.3">
      <c r="A62" s="91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90">
        <f t="shared" si="0"/>
        <v>0</v>
      </c>
      <c r="N62" s="61"/>
    </row>
    <row r="63" spans="1:14" ht="15.75" customHeight="1" x14ac:dyDescent="0.3">
      <c r="A63" s="91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90">
        <f t="shared" si="0"/>
        <v>0</v>
      </c>
      <c r="N63" s="61"/>
    </row>
    <row r="64" spans="1:14" ht="15.75" customHeight="1" x14ac:dyDescent="0.3">
      <c r="A64" s="91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90">
        <f t="shared" si="0"/>
        <v>0</v>
      </c>
      <c r="N64" s="61"/>
    </row>
    <row r="65" spans="1:14" ht="15.75" customHeight="1" x14ac:dyDescent="0.3">
      <c r="A65" s="91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90">
        <f t="shared" si="0"/>
        <v>0</v>
      </c>
      <c r="N65" s="61"/>
    </row>
    <row r="66" spans="1:14" ht="15.75" customHeight="1" x14ac:dyDescent="0.3">
      <c r="A66" s="91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90">
        <f t="shared" si="0"/>
        <v>0</v>
      </c>
      <c r="N66" s="61"/>
    </row>
    <row r="67" spans="1:14" ht="15.75" customHeight="1" x14ac:dyDescent="0.3">
      <c r="A67" s="91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90">
        <f t="shared" si="0"/>
        <v>0</v>
      </c>
      <c r="N67" s="61"/>
    </row>
    <row r="68" spans="1:14" ht="15.75" customHeight="1" x14ac:dyDescent="0.3">
      <c r="A68" s="91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90">
        <f t="shared" si="0"/>
        <v>0</v>
      </c>
      <c r="N68" s="61"/>
    </row>
    <row r="69" spans="1:14" ht="15.75" customHeight="1" x14ac:dyDescent="0.3">
      <c r="A69" s="91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90">
        <f t="shared" si="0"/>
        <v>0</v>
      </c>
      <c r="N69" s="61"/>
    </row>
    <row r="70" spans="1:14" ht="15.75" customHeight="1" x14ac:dyDescent="0.3">
      <c r="A70" s="91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90">
        <f t="shared" si="0"/>
        <v>0</v>
      </c>
      <c r="N70" s="61"/>
    </row>
    <row r="71" spans="1:14" ht="15.75" customHeight="1" x14ac:dyDescent="0.3">
      <c r="A71" s="91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90">
        <f t="shared" si="0"/>
        <v>0</v>
      </c>
      <c r="N71" s="61"/>
    </row>
    <row r="72" spans="1:14" ht="15.75" customHeight="1" x14ac:dyDescent="0.3">
      <c r="A72" s="91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90">
        <f t="shared" si="0"/>
        <v>0</v>
      </c>
      <c r="N72" s="61"/>
    </row>
    <row r="73" spans="1:14" ht="15.75" customHeight="1" x14ac:dyDescent="0.3">
      <c r="A73" s="91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90">
        <f t="shared" si="0"/>
        <v>0</v>
      </c>
      <c r="N73" s="61"/>
    </row>
    <row r="74" spans="1:14" ht="15.75" customHeight="1" x14ac:dyDescent="0.3">
      <c r="A74" s="91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90">
        <f t="shared" si="0"/>
        <v>0</v>
      </c>
      <c r="N74" s="61"/>
    </row>
    <row r="75" spans="1:14" ht="15.75" customHeight="1" x14ac:dyDescent="0.3">
      <c r="A75" s="91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90">
        <f t="shared" si="0"/>
        <v>0</v>
      </c>
      <c r="N75" s="61"/>
    </row>
    <row r="76" spans="1:14" ht="15.75" customHeight="1" x14ac:dyDescent="0.3">
      <c r="A76" s="35"/>
      <c r="J76" s="2"/>
      <c r="K76" s="2"/>
      <c r="L76" s="59" t="s">
        <v>77</v>
      </c>
    </row>
    <row r="77" spans="1:14" ht="15.75" customHeight="1" x14ac:dyDescent="0.3">
      <c r="A77" s="23" t="s">
        <v>78</v>
      </c>
      <c r="B77" s="6"/>
      <c r="C77" s="7"/>
      <c r="D77" s="6"/>
      <c r="E77" s="6"/>
      <c r="F77" s="6"/>
      <c r="G77" s="6"/>
      <c r="H77" s="6"/>
      <c r="I77" s="6"/>
      <c r="J77" s="2"/>
    </row>
    <row r="78" spans="1:14" ht="15.75" customHeight="1" x14ac:dyDescent="0.3">
      <c r="A78" s="19" t="s">
        <v>79</v>
      </c>
      <c r="B78" s="26" t="s">
        <v>80</v>
      </c>
      <c r="C78" s="9">
        <f>SUMIF(A14:A75,A78,M14:M75)</f>
        <v>0</v>
      </c>
      <c r="D78" s="21" t="s">
        <v>81</v>
      </c>
      <c r="E78" s="26" t="s">
        <v>82</v>
      </c>
      <c r="F78" s="9">
        <f>SUMIF(A14:A75,D78,M14:M75)</f>
        <v>0</v>
      </c>
      <c r="G78" s="21" t="s">
        <v>83</v>
      </c>
      <c r="H78" s="26" t="s">
        <v>84</v>
      </c>
      <c r="I78" s="9">
        <f>SUMIF(A14:A75,G78,M14:M75)</f>
        <v>0</v>
      </c>
      <c r="J78" s="2"/>
    </row>
    <row r="79" spans="1:14" ht="15.75" customHeight="1" x14ac:dyDescent="0.3">
      <c r="A79" s="19" t="s">
        <v>85</v>
      </c>
      <c r="B79" s="26" t="s">
        <v>86</v>
      </c>
      <c r="C79" s="9">
        <f>SUMIF(A14:A75,A79,M14:M75)</f>
        <v>0</v>
      </c>
      <c r="D79" s="21" t="s">
        <v>87</v>
      </c>
      <c r="E79" s="26" t="s">
        <v>88</v>
      </c>
      <c r="F79" s="9">
        <f>SUMIF(A14:A75,D79,M14:M75)</f>
        <v>0</v>
      </c>
      <c r="G79" s="21" t="s">
        <v>89</v>
      </c>
      <c r="H79" s="26" t="s">
        <v>90</v>
      </c>
      <c r="I79" s="9">
        <f>SUMIF(A14:A75,G79,M14:M75)</f>
        <v>0</v>
      </c>
      <c r="J79" s="2"/>
    </row>
    <row r="80" spans="1:14" ht="15.75" customHeight="1" x14ac:dyDescent="0.3">
      <c r="A80" s="20" t="s">
        <v>91</v>
      </c>
      <c r="B80" s="26" t="s">
        <v>92</v>
      </c>
      <c r="C80" s="9">
        <f>SUMIF(A14:A75,A80,M14:M75)</f>
        <v>0</v>
      </c>
      <c r="D80" s="21" t="s">
        <v>93</v>
      </c>
      <c r="E80" s="26" t="s">
        <v>94</v>
      </c>
      <c r="F80" s="9">
        <f>SUMIF(A14:A75,D80,M14:M75)</f>
        <v>0</v>
      </c>
      <c r="G80" s="6"/>
      <c r="H80" s="26" t="s">
        <v>95</v>
      </c>
      <c r="I80" s="9">
        <f>I79+I78+F80+F79+F78+C78+C79+C80</f>
        <v>0</v>
      </c>
      <c r="J80" s="2"/>
    </row>
    <row r="81" spans="1:13" ht="15.75" customHeight="1" x14ac:dyDescent="0.3">
      <c r="A81" s="24" t="s">
        <v>96</v>
      </c>
      <c r="B81" s="27"/>
      <c r="C81" s="7"/>
      <c r="D81" s="6"/>
      <c r="E81" s="27"/>
      <c r="F81" s="6"/>
      <c r="G81" s="2"/>
      <c r="H81" s="2"/>
      <c r="I81" s="2"/>
      <c r="J81" s="2"/>
    </row>
    <row r="82" spans="1:13" ht="15.75" customHeight="1" x14ac:dyDescent="0.3">
      <c r="A82" s="19" t="s">
        <v>97</v>
      </c>
      <c r="B82" s="26" t="s">
        <v>98</v>
      </c>
      <c r="C82" s="9">
        <f>SUMIF(A14:A75,A82,M14:M75)</f>
        <v>0</v>
      </c>
      <c r="D82" s="21" t="s">
        <v>63</v>
      </c>
      <c r="E82" s="28" t="s">
        <v>99</v>
      </c>
      <c r="F82" s="9">
        <f>SUMIF(A14:A75,D82,M14:M75)</f>
        <v>0</v>
      </c>
      <c r="G82" s="2"/>
      <c r="H82" s="2"/>
      <c r="I82" s="2"/>
      <c r="J82" s="2"/>
    </row>
    <row r="83" spans="1:13" ht="15.75" customHeight="1" x14ac:dyDescent="0.3">
      <c r="A83" s="19" t="s">
        <v>75</v>
      </c>
      <c r="B83" s="26" t="s">
        <v>100</v>
      </c>
      <c r="C83" s="9">
        <f>SUMIF(A14:A75,A83,M14:M75)</f>
        <v>0</v>
      </c>
      <c r="D83" s="21" t="s">
        <v>76</v>
      </c>
      <c r="E83" s="28" t="s">
        <v>101</v>
      </c>
      <c r="F83" s="9">
        <f>SUMIF(A14:A75,D83,M14:M75)</f>
        <v>0</v>
      </c>
      <c r="G83" s="2"/>
      <c r="H83" s="26" t="s">
        <v>102</v>
      </c>
      <c r="I83" s="9">
        <f>C82+C83+C84+F82+F83+F84+C85+F85</f>
        <v>0</v>
      </c>
      <c r="J83" s="2"/>
    </row>
    <row r="84" spans="1:13" ht="15.75" customHeight="1" x14ac:dyDescent="0.3">
      <c r="A84" s="20" t="s">
        <v>103</v>
      </c>
      <c r="B84" s="26" t="s">
        <v>104</v>
      </c>
      <c r="C84" s="9">
        <f>SUMIF(A14:A75,A84,M14:M75)</f>
        <v>0</v>
      </c>
      <c r="D84" s="21" t="s">
        <v>105</v>
      </c>
      <c r="E84" s="28" t="s">
        <v>106</v>
      </c>
      <c r="F84" s="9">
        <f>SUMIF(A14:A75,D84,M14:M75)</f>
        <v>0</v>
      </c>
      <c r="G84" s="2"/>
      <c r="H84" s="2"/>
      <c r="I84" s="2"/>
      <c r="J84" s="2"/>
    </row>
    <row r="85" spans="1:13" ht="15.75" customHeight="1" x14ac:dyDescent="0.3">
      <c r="A85" s="20" t="s">
        <v>107</v>
      </c>
      <c r="B85" s="28" t="s">
        <v>108</v>
      </c>
      <c r="C85" s="9">
        <f>SUMIF(A14:A75,A85,M14:M75)</f>
        <v>0</v>
      </c>
      <c r="D85" s="21" t="s">
        <v>109</v>
      </c>
      <c r="E85" s="28" t="s">
        <v>110</v>
      </c>
      <c r="F85" s="9">
        <f>SUMIF(A14:A75,D85,M14:M75)</f>
        <v>0</v>
      </c>
      <c r="G85" s="2"/>
      <c r="H85" s="2"/>
      <c r="I85" s="2"/>
      <c r="J85" s="2"/>
    </row>
    <row r="86" spans="1:13" ht="15.75" customHeight="1" x14ac:dyDescent="0.3">
      <c r="A86" s="24" t="s">
        <v>111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3"/>
    </row>
    <row r="87" spans="1:13" ht="15.75" customHeight="1" x14ac:dyDescent="0.3">
      <c r="A87" s="1"/>
      <c r="B87" s="26" t="s">
        <v>112</v>
      </c>
      <c r="C87" s="9">
        <f>SUMIF(A14:A75,B87,M14:M75)</f>
        <v>0</v>
      </c>
      <c r="D87" s="2"/>
      <c r="E87" s="2"/>
      <c r="F87" s="2"/>
      <c r="G87" s="2"/>
      <c r="H87" s="2"/>
      <c r="I87" s="2"/>
      <c r="J87" s="2"/>
      <c r="K87" s="2"/>
      <c r="L87" s="2"/>
      <c r="M87" s="3"/>
    </row>
    <row r="88" spans="1:13" ht="15.75" customHeight="1" x14ac:dyDescent="0.3">
      <c r="A88" s="1"/>
      <c r="B88" s="26" t="s">
        <v>113</v>
      </c>
      <c r="C88" s="9">
        <f>SUMIF(A14:A75,B88,M14:M75)</f>
        <v>0</v>
      </c>
      <c r="D88" s="2"/>
      <c r="E88" s="2"/>
      <c r="F88" s="2"/>
      <c r="G88" s="2"/>
      <c r="H88" s="2"/>
      <c r="I88" s="2"/>
      <c r="J88" s="2"/>
      <c r="K88" s="2"/>
      <c r="L88" s="2"/>
      <c r="M88" s="3"/>
    </row>
    <row r="89" spans="1:13" ht="15.75" customHeight="1" x14ac:dyDescent="0.3">
      <c r="A89" s="1"/>
      <c r="B89" s="26" t="s">
        <v>114</v>
      </c>
      <c r="C89" s="9">
        <f>C87+C88</f>
        <v>0</v>
      </c>
      <c r="D89" s="2"/>
      <c r="E89" s="2"/>
      <c r="F89" s="2"/>
      <c r="G89" s="2"/>
      <c r="H89" s="2"/>
      <c r="I89" s="2"/>
      <c r="J89" s="2"/>
      <c r="K89" s="2"/>
      <c r="L89" s="2"/>
      <c r="M89" s="3"/>
    </row>
    <row r="90" spans="1:13" ht="15.7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</row>
    <row r="91" spans="1:13" ht="15.7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</row>
    <row r="92" spans="1:13" ht="15.7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</row>
    <row r="93" spans="1:13" ht="15.7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</row>
    <row r="94" spans="1:13" ht="15.7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</row>
    <row r="95" spans="1:13" ht="15.7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</row>
    <row r="96" spans="1:13" ht="15.7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</row>
    <row r="97" spans="1:13" ht="15.7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</row>
    <row r="98" spans="1:13" ht="15.7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</row>
    <row r="99" spans="1:13" ht="15.7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</row>
    <row r="100" spans="1:13" ht="15.7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</row>
    <row r="101" spans="1:13" ht="15.7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</row>
    <row r="102" spans="1:13" ht="15.7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</row>
    <row r="103" spans="1:13" ht="15.7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</row>
    <row r="104" spans="1:13" ht="15.7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</row>
    <row r="105" spans="1:13" ht="15.7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</row>
    <row r="106" spans="1:13" ht="15.7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</row>
    <row r="107" spans="1:13" ht="15.7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</row>
    <row r="108" spans="1:13" ht="15.7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</row>
    <row r="109" spans="1:13" ht="15.7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</row>
    <row r="110" spans="1:13" ht="15.7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</row>
    <row r="111" spans="1:13" ht="15.7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</row>
    <row r="112" spans="1:13" ht="15.7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</row>
    <row r="113" spans="1:13" ht="15.7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</row>
    <row r="114" spans="1:13" ht="15.7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</row>
    <row r="115" spans="1:13" ht="15.7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</row>
    <row r="116" spans="1:13" ht="15.7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</row>
    <row r="117" spans="1:13" ht="15.7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</row>
    <row r="118" spans="1:13" ht="15.7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</row>
    <row r="119" spans="1:13" ht="15.7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</row>
    <row r="120" spans="1:13" ht="15.7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</row>
    <row r="121" spans="1:13" ht="15.7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</row>
    <row r="122" spans="1:13" ht="15.7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</row>
    <row r="123" spans="1:13" ht="15.7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</row>
    <row r="124" spans="1:13" ht="15.7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</row>
    <row r="125" spans="1:13" ht="15.7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</row>
    <row r="126" spans="1:13" ht="15.7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</row>
    <row r="127" spans="1:13" ht="15.7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</row>
    <row r="128" spans="1:13" ht="15.7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</row>
    <row r="129" spans="1:13" ht="15.7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</row>
    <row r="130" spans="1:13" ht="15.7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</row>
    <row r="131" spans="1:13" ht="15.7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</row>
    <row r="132" spans="1:13" ht="15.7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</row>
    <row r="133" spans="1:13" ht="15.7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</row>
    <row r="134" spans="1:13" ht="15.7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</row>
    <row r="135" spans="1:13" ht="15.7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</row>
    <row r="136" spans="1:13" ht="15.7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</row>
    <row r="137" spans="1:13" ht="15.7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</row>
    <row r="138" spans="1:13" ht="15.7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</row>
    <row r="139" spans="1:13" ht="15.7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</row>
    <row r="140" spans="1:13" ht="15.7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</row>
    <row r="141" spans="1:13" ht="15.7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</row>
    <row r="142" spans="1:13" ht="15.7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</row>
    <row r="143" spans="1:13" ht="15.7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</row>
    <row r="144" spans="1:13" ht="15.7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</row>
    <row r="145" spans="1:13" ht="15.7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</row>
    <row r="146" spans="1:13" ht="15.7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</row>
    <row r="147" spans="1:13" ht="15.7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</row>
    <row r="148" spans="1:13" ht="15.7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</row>
    <row r="149" spans="1:13" ht="15.7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</row>
    <row r="150" spans="1:13" ht="15.7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</row>
    <row r="151" spans="1:13" ht="15.7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</row>
    <row r="152" spans="1:13" ht="15.7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</row>
    <row r="153" spans="1:13" ht="15.7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</row>
    <row r="154" spans="1:13" ht="15.7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</row>
    <row r="155" spans="1:13" ht="15.7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</row>
    <row r="156" spans="1:13" ht="15.7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</row>
    <row r="157" spans="1:13" ht="15.7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</row>
    <row r="158" spans="1:13" ht="15.7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</row>
    <row r="159" spans="1:13" ht="15.7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</row>
    <row r="160" spans="1:13" ht="15.7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</row>
    <row r="161" spans="1:13" ht="15.7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</row>
    <row r="162" spans="1:13" ht="15.7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</row>
    <row r="163" spans="1:13" ht="15.7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</row>
    <row r="164" spans="1:13" ht="15.7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</row>
    <row r="165" spans="1:13" ht="15.7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</row>
    <row r="166" spans="1:13" ht="15.7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</row>
    <row r="167" spans="1:13" ht="15.7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</row>
    <row r="168" spans="1:13" ht="15.7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</row>
    <row r="169" spans="1:13" ht="15.7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</row>
    <row r="170" spans="1:13" ht="15.7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</row>
    <row r="171" spans="1:13" ht="15.7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</row>
    <row r="172" spans="1:13" ht="15.7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</row>
    <row r="173" spans="1:13" ht="15.7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</row>
    <row r="174" spans="1:13" ht="15.7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</row>
    <row r="175" spans="1:13" ht="15.7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</row>
    <row r="176" spans="1:13" ht="15.7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</row>
    <row r="177" spans="1:13" ht="15.7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</row>
    <row r="178" spans="1:13" ht="15.7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</row>
    <row r="179" spans="1:13" ht="15.7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</row>
    <row r="180" spans="1:13" ht="15.7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</row>
    <row r="181" spans="1:13" ht="15.7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</row>
    <row r="182" spans="1:13" ht="15.7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</row>
    <row r="183" spans="1:13" ht="15.7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</row>
    <row r="184" spans="1:13" ht="15.7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</row>
    <row r="185" spans="1:13" ht="15.7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</row>
    <row r="186" spans="1:13" ht="15.7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</row>
    <row r="187" spans="1:13" ht="15.7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</row>
    <row r="188" spans="1:13" ht="15.7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</row>
    <row r="189" spans="1:13" ht="15.7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</row>
    <row r="190" spans="1:13" ht="15.7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</row>
    <row r="191" spans="1:13" ht="15.7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</row>
    <row r="192" spans="1:13" ht="15.7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</row>
    <row r="193" spans="1:13" ht="15.7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</row>
    <row r="194" spans="1:13" ht="15.7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</row>
    <row r="195" spans="1:13" ht="15.7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</row>
    <row r="196" spans="1:13" ht="15.7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</row>
    <row r="197" spans="1:13" ht="380.2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</row>
    <row r="198" spans="1:13" ht="15.7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</row>
    <row r="199" spans="1:13" ht="15.7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</row>
    <row r="200" spans="1:13" ht="15.7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</row>
    <row r="201" spans="1:13" ht="15.7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</row>
    <row r="202" spans="1:13" ht="15.7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</row>
    <row r="203" spans="1:13" ht="15.7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</row>
    <row r="204" spans="1:13" ht="15.7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</row>
    <row r="205" spans="1:13" ht="15.7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</row>
    <row r="206" spans="1:13" ht="15.7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</row>
    <row r="207" spans="1:13" ht="15.7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</row>
    <row r="208" spans="1:13" ht="15.7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</row>
    <row r="209" spans="1:13" ht="15.7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</row>
    <row r="210" spans="1:13" ht="15.7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</row>
    <row r="211" spans="1:13" ht="15.7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</row>
    <row r="212" spans="1:13" ht="15.7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</row>
    <row r="213" spans="1:13" ht="15.7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</row>
    <row r="214" spans="1:13" ht="15.7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</row>
    <row r="215" spans="1:13" ht="15.7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</row>
    <row r="216" spans="1:13" ht="15.7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</row>
    <row r="217" spans="1:13" ht="15.7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8"/>
    </row>
    <row r="218" spans="1:13" ht="15.7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8"/>
    </row>
    <row r="219" spans="1:13" ht="15.7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8"/>
    </row>
    <row r="220" spans="1:13" ht="15.7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8"/>
    </row>
    <row r="221" spans="1:13" ht="15.7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8"/>
    </row>
    <row r="222" spans="1:13" ht="15.7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8"/>
    </row>
    <row r="223" spans="1:13" ht="15.7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8"/>
    </row>
    <row r="224" spans="1:13" ht="15.7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8"/>
    </row>
    <row r="225" spans="1:13" ht="15.7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8"/>
    </row>
    <row r="226" spans="1:13" ht="15.7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8"/>
    </row>
    <row r="227" spans="1:13" ht="15.7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8"/>
    </row>
    <row r="228" spans="1:13" ht="15.7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8"/>
    </row>
    <row r="229" spans="1:13" ht="15.7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8"/>
    </row>
    <row r="230" spans="1:13" ht="15.7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8"/>
    </row>
    <row r="231" spans="1:13" ht="15.7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8"/>
    </row>
    <row r="232" spans="1:13" ht="15.7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8"/>
    </row>
    <row r="233" spans="1:13" ht="15.7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8"/>
    </row>
    <row r="234" spans="1:13" ht="15.7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8"/>
    </row>
    <row r="235" spans="1:13" ht="15.7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8"/>
    </row>
    <row r="236" spans="1:13" ht="15.7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8"/>
    </row>
    <row r="237" spans="1:13" ht="15.7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8"/>
    </row>
    <row r="238" spans="1:13" ht="15.7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8"/>
    </row>
    <row r="239" spans="1:13" ht="15.7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8"/>
    </row>
    <row r="240" spans="1:13" ht="15.7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8"/>
    </row>
    <row r="241" spans="1:13" ht="15.7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8"/>
    </row>
    <row r="242" spans="1:13" ht="15.7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8"/>
    </row>
    <row r="243" spans="1:13" ht="15.7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8"/>
    </row>
    <row r="244" spans="1:13" ht="15.7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8"/>
    </row>
    <row r="245" spans="1:13" ht="15.7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8"/>
    </row>
    <row r="246" spans="1:13" ht="15.7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8"/>
    </row>
    <row r="247" spans="1:13" ht="15.7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8"/>
    </row>
    <row r="248" spans="1:13" ht="15.7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8"/>
    </row>
    <row r="249" spans="1:13" ht="15.7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8"/>
    </row>
    <row r="250" spans="1:13" ht="15.7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8"/>
    </row>
    <row r="251" spans="1:13" ht="15.7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8"/>
    </row>
    <row r="252" spans="1:13" ht="15.7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8"/>
    </row>
    <row r="253" spans="1:13" ht="15.7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8"/>
    </row>
    <row r="254" spans="1:13" ht="15.75" customHeight="1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8"/>
    </row>
    <row r="255" spans="1:13" ht="15.75" customHeight="1" x14ac:dyDescent="0.3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8"/>
    </row>
    <row r="256" spans="1:13" ht="15.75" customHeight="1" x14ac:dyDescent="0.3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8"/>
    </row>
    <row r="257" spans="1:13" ht="15.75" customHeight="1" x14ac:dyDescent="0.3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8"/>
    </row>
    <row r="258" spans="1:13" ht="15.75" customHeight="1" x14ac:dyDescent="0.3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8"/>
    </row>
    <row r="259" spans="1:13" ht="15.75" customHeight="1" x14ac:dyDescent="0.3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8"/>
    </row>
    <row r="260" spans="1:13" ht="15.75" customHeight="1" x14ac:dyDescent="0.3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8"/>
    </row>
    <row r="261" spans="1:13" ht="15.75" customHeight="1" x14ac:dyDescent="0.3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8"/>
    </row>
    <row r="262" spans="1:13" ht="15.75" customHeight="1" x14ac:dyDescent="0.3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8"/>
    </row>
    <row r="263" spans="1:13" ht="15.75" customHeight="1" x14ac:dyDescent="0.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8"/>
    </row>
    <row r="264" spans="1:13" ht="15.75" customHeight="1" x14ac:dyDescent="0.3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8"/>
    </row>
    <row r="265" spans="1:13" ht="15.75" customHeight="1" x14ac:dyDescent="0.3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8"/>
    </row>
    <row r="266" spans="1:13" ht="15.75" customHeight="1" x14ac:dyDescent="0.3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8"/>
    </row>
    <row r="267" spans="1:13" ht="15.75" customHeight="1" x14ac:dyDescent="0.3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8"/>
    </row>
    <row r="268" spans="1:13" ht="15.75" customHeight="1" x14ac:dyDescent="0.3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8"/>
    </row>
    <row r="269" spans="1:13" ht="15.75" customHeight="1" x14ac:dyDescent="0.3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8"/>
    </row>
    <row r="270" spans="1:13" ht="15.75" customHeight="1" x14ac:dyDescent="0.3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8"/>
    </row>
    <row r="271" spans="1:13" ht="15.75" customHeight="1" x14ac:dyDescent="0.3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8"/>
    </row>
    <row r="272" spans="1:13" ht="15.75" customHeight="1" x14ac:dyDescent="0.3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8"/>
    </row>
    <row r="273" spans="1:13" ht="15.75" customHeight="1" x14ac:dyDescent="0.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8"/>
    </row>
    <row r="274" spans="1:13" ht="15.75" customHeight="1" x14ac:dyDescent="0.25"/>
    <row r="275" spans="1:13" ht="15.75" customHeight="1" x14ac:dyDescent="0.25"/>
    <row r="276" spans="1:13" ht="15.75" customHeight="1" x14ac:dyDescent="0.25"/>
    <row r="277" spans="1:13" ht="15.75" customHeight="1" x14ac:dyDescent="0.25"/>
    <row r="278" spans="1:13" ht="15.75" customHeight="1" x14ac:dyDescent="0.25"/>
    <row r="279" spans="1:13" ht="15.75" customHeight="1" x14ac:dyDescent="0.25"/>
    <row r="280" spans="1:13" ht="15.75" customHeight="1" x14ac:dyDescent="0.25"/>
    <row r="281" spans="1:13" ht="15.75" customHeight="1" x14ac:dyDescent="0.25"/>
    <row r="282" spans="1:13" ht="15.75" customHeight="1" x14ac:dyDescent="0.25"/>
    <row r="283" spans="1:13" ht="15.75" customHeight="1" x14ac:dyDescent="0.25"/>
    <row r="284" spans="1:13" ht="15.75" customHeight="1" x14ac:dyDescent="0.25"/>
    <row r="285" spans="1:13" ht="15.75" customHeight="1" x14ac:dyDescent="0.25"/>
    <row r="286" spans="1:13" ht="15.75" customHeight="1" x14ac:dyDescent="0.25"/>
    <row r="287" spans="1:13" ht="15.75" customHeight="1" x14ac:dyDescent="0.25"/>
    <row r="288" spans="1:13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</sheetData>
  <protectedRanges>
    <protectedRange sqref="M32" name="Range1"/>
  </protectedRanges>
  <mergeCells count="14">
    <mergeCell ref="N12:N13"/>
    <mergeCell ref="B1:M1"/>
    <mergeCell ref="B2:M2"/>
    <mergeCell ref="A12:A13"/>
    <mergeCell ref="B12:M12"/>
    <mergeCell ref="B13:M13"/>
    <mergeCell ref="D6:E6"/>
    <mergeCell ref="D8:E8"/>
    <mergeCell ref="I6:J6"/>
    <mergeCell ref="I7:J7"/>
    <mergeCell ref="I8:J8"/>
    <mergeCell ref="D9:E9"/>
    <mergeCell ref="I9:J9"/>
    <mergeCell ref="D7:E7"/>
  </mergeCells>
  <pageMargins left="0.7" right="0.7" top="0.75" bottom="0.75" header="0.3" footer="0.3"/>
  <pageSetup paperSize="9" scale="70" fitToHeight="0" orientation="landscape" r:id="rId1"/>
  <rowBreaks count="1" manualBreakCount="1">
    <brk id="87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TẤT CẢ</vt:lpstr>
      <vt:lpstr>TỔNG</vt:lpstr>
      <vt:lpstr>CHI TIET</vt:lpstr>
      <vt:lpstr>'CHI TIET'!Print_Area</vt:lpstr>
      <vt:lpstr>'TẤT CẢ'!Print_Area</vt:lpstr>
      <vt:lpstr>TỔNG!Print_Area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chien thai ba</cp:lastModifiedBy>
  <cp:revision/>
  <dcterms:created xsi:type="dcterms:W3CDTF">2026-06-03T10:28:47Z</dcterms:created>
  <dcterms:modified xsi:type="dcterms:W3CDTF">2026-10-02T02:36:51Z</dcterms:modified>
  <cp:category/>
  <cp:contentStatus/>
</cp:coreProperties>
</file>